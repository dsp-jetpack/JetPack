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1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ANDY_perryman\Documents\GitHub\dsp-jetpack\dsp-jetpack\data\sample_switch_configs\4-NIC-Z9100-25G\"/>
    </mc:Choice>
  </mc:AlternateContent>
  <bookViews>
    <workbookView xWindow="0" yWindow="0" windowWidth="25605" windowHeight="10905" tabRatio="782" activeTab="1"/>
  </bookViews>
  <sheets>
    <sheet name="General Configuration" sheetId="11" r:id="rId1"/>
    <sheet name="Logical Layout" sheetId="41" r:id="rId2"/>
    <sheet name="RHOSP Inventory" sheetId="45" r:id="rId3"/>
    <sheet name="Dell Networking S3048" sheetId="13" r:id="rId4"/>
    <sheet name="Dell Networking Z9100-1" sheetId="48" r:id="rId5"/>
    <sheet name="Dell Networking Z9100-2" sheetId="52" r:id="rId6"/>
  </sheets>
  <externalReferences>
    <externalReference r:id="rId7"/>
    <externalReference r:id="rId8"/>
  </externalReferences>
  <definedNames>
    <definedName name="ceph_clust_name">'General Configuration'!$E$9</definedName>
    <definedName name="Ceph_Cluster_ip_range">'Logical Layout'!$P$25</definedName>
    <definedName name="CephCluster">'General Configuration'!$F$9</definedName>
    <definedName name="Drive_Speed" localSheetId="5" hidden="1">#REF!</definedName>
    <definedName name="Drive_Speed" hidden="1">#REF!</definedName>
    <definedName name="EXT_API_ip_range">'Logical Layout'!$P$26</definedName>
    <definedName name="Ext_net_name">'General Configuration'!$E$11</definedName>
    <definedName name="EXT_Tenant_ip_range">'Logical Layout'!$P$27</definedName>
    <definedName name="ExtAPI">'General Configuration'!$F$10</definedName>
    <definedName name="EXTTen">'General Configuration'!$F$11</definedName>
    <definedName name="Group_Name" hidden="1">[1]Names!$B$36:$B$40</definedName>
    <definedName name="HotSpare" localSheetId="5" hidden="1">#REF!</definedName>
    <definedName name="HotSpare" hidden="1">#REF!</definedName>
    <definedName name="OOB">'General Configuration'!$F$5</definedName>
    <definedName name="OOB_ip_range">'Logical Layout'!$P$20</definedName>
    <definedName name="OOB_NAME">'General Configuration'!$E$5</definedName>
    <definedName name="_xlnm.Print_Area" localSheetId="2">'RHOSP Inventory'!$B$1:$Q$27</definedName>
    <definedName name="PrivAPI">'General Configuration'!$F$7</definedName>
    <definedName name="PrivAPI_name">'General Configuration'!$E$7</definedName>
    <definedName name="Private_API_ip_range">'Logical Layout'!$P$23</definedName>
    <definedName name="Prov_name">'General Configuration'!$E$6</definedName>
    <definedName name="Provisioner">'General Configuration'!$F$6</definedName>
    <definedName name="Provisioner_ip_range">'Logical Layout'!$P$21</definedName>
    <definedName name="PubAPI_Name">'General Configuration'!$E$10</definedName>
    <definedName name="SonicWALL" localSheetId="5" hidden="1">#REF!</definedName>
    <definedName name="SonicWALL" hidden="1">#REF!</definedName>
    <definedName name="stor_name">'General Configuration'!$E$8</definedName>
    <definedName name="Storage">'General Configuration'!$F$8</definedName>
    <definedName name="Storage_ip_range">'Logical Layout'!$P$24</definedName>
    <definedName name="ten_beg_name">'General Configuration'!$E$12</definedName>
    <definedName name="ten_end_name">'General Configuration'!$E$13</definedName>
    <definedName name="Tenant_Tunnel_ip_range">'Logical Layout'!$P$22</definedName>
    <definedName name="TenantBeg">'General Configuration'!$F$12</definedName>
    <definedName name="TenantEnd">'General Configuration'!$F$13</definedName>
    <definedName name="TenTunnel">'General Configuration'!$F$14</definedName>
    <definedName name="TenTunnelName">'General Configuration'!$E$14</definedName>
    <definedName name="VLTDOMAIN">#REF!</definedName>
    <definedName name="VLTPortChannel">'[2]Dell Networking S4048-1'!$AE$16</definedName>
    <definedName name="VLTPRIMARYPRIORITY1">#REF!</definedName>
    <definedName name="VLTUNIT1">#REF!</definedName>
    <definedName name="Z_25FC69F2_588D_4797_8983_AC3C95EDA333_.wvu.Cols" localSheetId="5" hidden="1">#REF!</definedName>
    <definedName name="Z_25FC69F2_588D_4797_8983_AC3C95EDA333_.wvu.Cols" hidden="1">#REF!</definedName>
    <definedName name="Z_25FC69F2_588D_4797_8983_AC3C95EDA333_.wvu.PrintArea" localSheetId="3" hidden="1">#REF!</definedName>
    <definedName name="Z_25FC69F2_588D_4797_8983_AC3C95EDA333_.wvu.PrintArea" localSheetId="5" hidden="1">#REF!</definedName>
    <definedName name="Z_25FC69F2_588D_4797_8983_AC3C95EDA333_.wvu.PrintArea" hidden="1">#REF!</definedName>
    <definedName name="Z_93454262_5886_459D_A441_6DB3976CE42D_.wvu.Cols" localSheetId="5" hidden="1">#REF!</definedName>
    <definedName name="Z_93454262_5886_459D_A441_6DB3976CE42D_.wvu.Cols" hidden="1">#REF!</definedName>
    <definedName name="Z_93454262_5886_459D_A441_6DB3976CE42D_.wvu.PrintArea" localSheetId="3" hidden="1">#REF!</definedName>
    <definedName name="Z_93454262_5886_459D_A441_6DB3976CE42D_.wvu.PrintArea" localSheetId="5" hidden="1">#REF!</definedName>
    <definedName name="Z_93454262_5886_459D_A441_6DB3976CE42D_.wvu.PrintArea" hidden="1">#REF!</definedName>
  </definedNames>
  <calcPr calcId="171027"/>
</workbook>
</file>

<file path=xl/calcChain.xml><?xml version="1.0" encoding="utf-8"?>
<calcChain xmlns="http://schemas.openxmlformats.org/spreadsheetml/2006/main">
  <c r="Q39" i="13" l="1"/>
  <c r="Q29" i="13"/>
  <c r="Q28" i="13"/>
  <c r="O28" i="41"/>
  <c r="N28" i="41"/>
  <c r="N27" i="41"/>
  <c r="O22" i="41"/>
  <c r="N22" i="41"/>
  <c r="K1" i="45"/>
  <c r="X41" i="48"/>
  <c r="X31" i="48"/>
  <c r="X30" i="48"/>
  <c r="O4" i="48"/>
  <c r="N4" i="48"/>
  <c r="M4" i="48"/>
  <c r="L4" i="48"/>
  <c r="X41" i="52"/>
  <c r="X31" i="52"/>
  <c r="X30" i="52"/>
  <c r="O4" i="52"/>
  <c r="N4" i="52"/>
  <c r="M4" i="52"/>
  <c r="L4" i="52"/>
  <c r="X40" i="52" l="1"/>
  <c r="X39" i="52"/>
  <c r="X38" i="52"/>
  <c r="X37" i="52"/>
  <c r="X36" i="52"/>
  <c r="X35" i="52"/>
  <c r="Y30" i="52"/>
  <c r="Y29" i="52"/>
  <c r="X29" i="52"/>
  <c r="Y28" i="52"/>
  <c r="X28" i="52"/>
  <c r="Y27" i="52"/>
  <c r="X27" i="52"/>
  <c r="Y26" i="52"/>
  <c r="X26" i="52"/>
  <c r="Y25" i="52"/>
  <c r="X25" i="52"/>
  <c r="Y24" i="52"/>
  <c r="X24" i="52"/>
  <c r="X40" i="48"/>
  <c r="X39" i="48"/>
  <c r="X38" i="48"/>
  <c r="X37" i="48"/>
  <c r="X36" i="48"/>
  <c r="X35" i="48"/>
  <c r="Y30" i="48"/>
  <c r="Y29" i="48"/>
  <c r="X29" i="48"/>
  <c r="Y28" i="48"/>
  <c r="X28" i="48"/>
  <c r="Y27" i="48"/>
  <c r="X27" i="48"/>
  <c r="Y26" i="48"/>
  <c r="X26" i="48"/>
  <c r="Y25" i="48"/>
  <c r="X25" i="48"/>
  <c r="Y24" i="48"/>
  <c r="X24" i="48"/>
  <c r="K4" i="48"/>
  <c r="J4" i="48"/>
  <c r="I4" i="48"/>
  <c r="H4" i="48"/>
  <c r="G4" i="48"/>
  <c r="F4" i="48"/>
  <c r="K4" i="52"/>
  <c r="J4" i="52"/>
  <c r="I4" i="52"/>
  <c r="H4" i="52"/>
  <c r="G4" i="52"/>
  <c r="F4" i="52"/>
  <c r="J1" i="45" l="1"/>
  <c r="I1" i="45"/>
  <c r="H1" i="45"/>
  <c r="G1" i="45"/>
  <c r="E1" i="45"/>
  <c r="F1" i="45"/>
  <c r="O27" i="41"/>
  <c r="O26" i="41"/>
  <c r="N26" i="41"/>
  <c r="O25" i="41"/>
  <c r="N25" i="41"/>
  <c r="O24" i="41"/>
  <c r="N24" i="41"/>
  <c r="O23" i="41"/>
  <c r="N23" i="41"/>
  <c r="O21" i="41"/>
  <c r="N21" i="41"/>
  <c r="O20" i="41"/>
  <c r="N20" i="41"/>
  <c r="I4" i="13"/>
  <c r="R28" i="13" l="1"/>
  <c r="R27" i="13"/>
  <c r="R26" i="13"/>
  <c r="R25" i="13"/>
  <c r="R24" i="13"/>
  <c r="R23" i="13"/>
  <c r="R22" i="13"/>
  <c r="Q38" i="13" l="1"/>
  <c r="Q37" i="13"/>
  <c r="Q36" i="13"/>
  <c r="Q35" i="13"/>
  <c r="Q34" i="13"/>
  <c r="Q33" i="13"/>
  <c r="Q27" i="13"/>
  <c r="Q26" i="13"/>
  <c r="Q25" i="13"/>
  <c r="Q24" i="13"/>
  <c r="Q23" i="13"/>
  <c r="Q22" i="13"/>
</calcChain>
</file>

<file path=xl/sharedStrings.xml><?xml version="1.0" encoding="utf-8"?>
<sst xmlns="http://schemas.openxmlformats.org/spreadsheetml/2006/main" count="2199" uniqueCount="383">
  <si>
    <t>Description</t>
  </si>
  <si>
    <t>Interface</t>
  </si>
  <si>
    <t>- Empty -</t>
  </si>
  <si>
    <t>-</t>
  </si>
  <si>
    <t>LACP</t>
  </si>
  <si>
    <t>Next Hop</t>
  </si>
  <si>
    <t>STP Priorities</t>
  </si>
  <si>
    <t>Password</t>
  </si>
  <si>
    <t>VLANs</t>
  </si>
  <si>
    <t>LAG</t>
  </si>
  <si>
    <t>Tagged</t>
  </si>
  <si>
    <t>Port</t>
  </si>
  <si>
    <t>Destination</t>
  </si>
  <si>
    <t>#</t>
  </si>
  <si>
    <t>Mode</t>
  </si>
  <si>
    <t>Device Name</t>
  </si>
  <si>
    <t>Username</t>
  </si>
  <si>
    <t>Hostname</t>
  </si>
  <si>
    <t>STP Root</t>
  </si>
  <si>
    <t>STP Bridge Priority</t>
  </si>
  <si>
    <t>Yes</t>
  </si>
  <si>
    <t>Stacking</t>
  </si>
  <si>
    <t>Name</t>
  </si>
  <si>
    <t>Connector</t>
  </si>
  <si>
    <t>IP Addresses</t>
  </si>
  <si>
    <t>IP /Netmask</t>
  </si>
  <si>
    <t>Routes</t>
  </si>
  <si>
    <t>0.0.0.0 /0</t>
  </si>
  <si>
    <t>ID</t>
  </si>
  <si>
    <t>Comments</t>
  </si>
  <si>
    <t>Firmware</t>
  </si>
  <si>
    <t>General Configuration</t>
  </si>
  <si>
    <t>Spanning-Tree Protocols</t>
  </si>
  <si>
    <t>Timezone</t>
  </si>
  <si>
    <t>SNMP Version</t>
  </si>
  <si>
    <t>SNMP Permission</t>
  </si>
  <si>
    <t>Syslog Facility</t>
  </si>
  <si>
    <t>Domain</t>
  </si>
  <si>
    <t>Read-Only</t>
  </si>
  <si>
    <t>auth</t>
  </si>
  <si>
    <t>STP (802.1d)</t>
  </si>
  <si>
    <t>2c</t>
  </si>
  <si>
    <t>Read-Write</t>
  </si>
  <si>
    <t>cron</t>
  </si>
  <si>
    <t>RSTP (802.1w)</t>
  </si>
  <si>
    <t>daemon</t>
  </si>
  <si>
    <t>MSTP (802.1s)</t>
  </si>
  <si>
    <t>kern</t>
  </si>
  <si>
    <t>BRT (GMT -3:00)</t>
  </si>
  <si>
    <t>local0</t>
  </si>
  <si>
    <t>None</t>
  </si>
  <si>
    <t>local1</t>
  </si>
  <si>
    <t>Spanning-Tree</t>
  </si>
  <si>
    <t>local2</t>
  </si>
  <si>
    <t>local3</t>
  </si>
  <si>
    <t>local4</t>
  </si>
  <si>
    <t>local5</t>
  </si>
  <si>
    <t>Time Settings</t>
  </si>
  <si>
    <t>local6</t>
  </si>
  <si>
    <t>System Timezone</t>
  </si>
  <si>
    <t>local7 (Default)</t>
  </si>
  <si>
    <t>Internal NTP Server 1 IP (If existing)</t>
  </si>
  <si>
    <t>lpr</t>
  </si>
  <si>
    <t>Internal NTP Server 2 IP (If existing)</t>
  </si>
  <si>
    <t>mail</t>
  </si>
  <si>
    <t>Internal NTP Server 3 IP (If existing)</t>
  </si>
  <si>
    <t>news</t>
  </si>
  <si>
    <t>sys9</t>
  </si>
  <si>
    <t>Syslog</t>
  </si>
  <si>
    <t>sys10</t>
  </si>
  <si>
    <t>Syslog Server 1 IP (If required)</t>
  </si>
  <si>
    <t>sys11</t>
  </si>
  <si>
    <t>Syslog Server 2 IP (If required)</t>
  </si>
  <si>
    <t>sys12</t>
  </si>
  <si>
    <t>Syslog Server 3 IP (If required)</t>
  </si>
  <si>
    <t>sys13</t>
  </si>
  <si>
    <t>sys14</t>
  </si>
  <si>
    <t>syslog</t>
  </si>
  <si>
    <t>SNMP</t>
  </si>
  <si>
    <t>user</t>
  </si>
  <si>
    <t>SNMP Location</t>
  </si>
  <si>
    <t>SNMP Contact</t>
  </si>
  <si>
    <t>uucp</t>
  </si>
  <si>
    <t>Permission</t>
  </si>
  <si>
    <t>Allowed IP Addresses</t>
  </si>
  <si>
    <t>Any</t>
  </si>
  <si>
    <t>Trap Destination IP</t>
  </si>
  <si>
    <t>Version</t>
  </si>
  <si>
    <t>Community</t>
  </si>
  <si>
    <t>UDP Port Number</t>
  </si>
  <si>
    <t>PST (GMT -8:00)</t>
  </si>
  <si>
    <t>MST (GMT -7:00)</t>
  </si>
  <si>
    <t>CST (GMT -6:00)</t>
  </si>
  <si>
    <t>EST (GMT -5:00)</t>
  </si>
  <si>
    <t>Spanning Tree Protocol</t>
  </si>
  <si>
    <t>Current Root Bridge Priority</t>
  </si>
  <si>
    <t>N/A</t>
  </si>
  <si>
    <t>Notes</t>
  </si>
  <si>
    <t>STP Mode</t>
  </si>
  <si>
    <t>Disabled</t>
  </si>
  <si>
    <t>Enable Methods</t>
  </si>
  <si>
    <t>Enable</t>
  </si>
  <si>
    <t>Line</t>
  </si>
  <si>
    <t>Local</t>
  </si>
  <si>
    <t>Radius</t>
  </si>
  <si>
    <t>Tacacs+</t>
  </si>
  <si>
    <t>Exec Methods</t>
  </si>
  <si>
    <t>If-authenticated</t>
  </si>
  <si>
    <t>Commands Methods</t>
  </si>
  <si>
    <t>Authentication Enable 1st Method</t>
  </si>
  <si>
    <t>Authentication Enable 2nd Method</t>
  </si>
  <si>
    <t>Authorization Exec 1st Method</t>
  </si>
  <si>
    <t>Authorization Exec 2nd Method</t>
  </si>
  <si>
    <t>Authorization Commands 1st Method</t>
  </si>
  <si>
    <t>Authorization Commands 2nd Method</t>
  </si>
  <si>
    <t>AAA - Authentication, Authorization and Accounting</t>
  </si>
  <si>
    <t>Authorization Config-Commands</t>
  </si>
  <si>
    <t>Config-Commands</t>
  </si>
  <si>
    <t>Enabled</t>
  </si>
  <si>
    <t>Accounting Exec Start-Stop</t>
  </si>
  <si>
    <t>Accounting Commands Start-Stop</t>
  </si>
  <si>
    <t>Accounting</t>
  </si>
  <si>
    <t>TACACS+/Radius Server1</t>
  </si>
  <si>
    <t>TACACS+/Radius Server3</t>
  </si>
  <si>
    <t>TACACS+/Radius Server2</t>
  </si>
  <si>
    <t>TACACS+/Radius Key</t>
  </si>
  <si>
    <t>Rapid-PVST (Third Party)</t>
  </si>
  <si>
    <t>PVST+ (Third Party)</t>
  </si>
  <si>
    <t>Domain Name</t>
  </si>
  <si>
    <t xml:space="preserve">DNS Server 1 IP </t>
  </si>
  <si>
    <t>DNS Server 2 IP</t>
  </si>
  <si>
    <t>DNS Server 3 IP</t>
  </si>
  <si>
    <t>SNMP v1/v2c Community</t>
  </si>
  <si>
    <t>SNMP v3 User</t>
  </si>
  <si>
    <t>Authentication Password</t>
  </si>
  <si>
    <t>Encryption Key</t>
  </si>
  <si>
    <t>OOB</t>
  </si>
  <si>
    <t>Provisioner</t>
  </si>
  <si>
    <t>Private API</t>
  </si>
  <si>
    <t>Storage 1</t>
  </si>
  <si>
    <t>Storage 2</t>
  </si>
  <si>
    <t>iDrac</t>
  </si>
  <si>
    <t>Storage Network</t>
  </si>
  <si>
    <t>Required?</t>
  </si>
  <si>
    <t>yes</t>
  </si>
  <si>
    <t>SAH</t>
  </si>
  <si>
    <t>Tenant Network</t>
  </si>
  <si>
    <t>Shutdown</t>
  </si>
  <si>
    <t>VLAN Information</t>
  </si>
  <si>
    <t>Vlan Number</t>
  </si>
  <si>
    <t>Ceph Storage Cluster Vlan</t>
  </si>
  <si>
    <t>Tenant Network Ending</t>
  </si>
  <si>
    <t>RSTP</t>
  </si>
  <si>
    <t>No</t>
  </si>
  <si>
    <t>10/100/1000BaseT</t>
  </si>
  <si>
    <t>Port Settings</t>
  </si>
  <si>
    <t>Port State</t>
  </si>
  <si>
    <t>STP Port Type</t>
  </si>
  <si>
    <t>MTU</t>
  </si>
  <si>
    <t>Flow Control</t>
  </si>
  <si>
    <t>No Shutdown</t>
  </si>
  <si>
    <t>RX on, TX off</t>
  </si>
  <si>
    <t>RSTP, Edge, Portfast</t>
  </si>
  <si>
    <t>RX on, TX on</t>
  </si>
  <si>
    <t>STACK UNIT 2</t>
  </si>
  <si>
    <t>Network</t>
  </si>
  <si>
    <t>OpenStack Controller</t>
  </si>
  <si>
    <t>OpenStack Compute</t>
  </si>
  <si>
    <t>Provisioning vLAN</t>
  </si>
  <si>
    <t>Public API Network vLAN</t>
  </si>
  <si>
    <t>Not Connected</t>
  </si>
  <si>
    <t>External Network vLAN for Tenants</t>
  </si>
  <si>
    <t>Private API Network vLAN</t>
  </si>
  <si>
    <t>Internal Networks vLAN for Tenants</t>
  </si>
  <si>
    <t>Storage Network vLAN</t>
  </si>
  <si>
    <t>Storage Clustering vLAN</t>
  </si>
  <si>
    <t>Management/OOB Network vLAN</t>
  </si>
  <si>
    <t>iDRAC physical connection to the Management/OOB vLAN</t>
  </si>
  <si>
    <t>Red Hat Ceph Storage</t>
  </si>
  <si>
    <t>Connected
Tagged</t>
  </si>
  <si>
    <t>Connected
unTagged</t>
  </si>
  <si>
    <r>
      <rPr>
        <b/>
        <vertAlign val="superscript"/>
        <sz val="11"/>
        <color theme="1"/>
        <rFont val="Calibri"/>
        <family val="2"/>
        <scheme val="minor"/>
      </rPr>
      <t xml:space="preserve">1 </t>
    </r>
    <r>
      <rPr>
        <b/>
        <sz val="11"/>
        <color theme="1"/>
        <rFont val="Calibri"/>
        <family val="2"/>
        <scheme val="minor"/>
      </rPr>
      <t>(The 1Gbe port is used for provisioning the  during its installation only and can be disconnected afterwards.)</t>
    </r>
  </si>
  <si>
    <t>Public API Network</t>
  </si>
  <si>
    <t>External Network for Tenants (floating IP)</t>
  </si>
  <si>
    <t>Management 1/1</t>
  </si>
  <si>
    <t>Flowcontrol</t>
  </si>
  <si>
    <t>Bond#</t>
  </si>
  <si>
    <t>bond0</t>
  </si>
  <si>
    <t>bond1</t>
  </si>
  <si>
    <t>n/a</t>
  </si>
  <si>
    <t>S3048-1</t>
  </si>
  <si>
    <t>Using IP on VLAN 110</t>
  </si>
  <si>
    <t xml:space="preserve">VLAN 110 has the IP address for gateway on OOB VLAN and the "ethernet mgmt" on S3048-1 is not used. You may want to implement differently depending on your environment. </t>
  </si>
  <si>
    <t>STACK UNIT 1</t>
  </si>
  <si>
    <t>Alias</t>
  </si>
  <si>
    <t>Hardware</t>
  </si>
  <si>
    <t>Service Tag</t>
  </si>
  <si>
    <t>CPU</t>
  </si>
  <si>
    <t>RAM</t>
  </si>
  <si>
    <t>Drives</t>
  </si>
  <si>
    <t>BIOS Version</t>
  </si>
  <si>
    <t>iDRAC FW</t>
  </si>
  <si>
    <t>R720xd</t>
  </si>
  <si>
    <t>VM on SAH</t>
  </si>
  <si>
    <t xml:space="preserve">VM </t>
  </si>
  <si>
    <t>fw: 9.11.0</t>
  </si>
  <si>
    <t>Column1</t>
  </si>
  <si>
    <t>Column2</t>
  </si>
  <si>
    <t>192.168.110.0/24</t>
  </si>
  <si>
    <t>gateway: 192.168.110.1  on R7-S3048</t>
  </si>
  <si>
    <t>192.168.120.0/24</t>
  </si>
  <si>
    <t>gateway  192.168.120.1 on R7-S3048</t>
  </si>
  <si>
    <t>192.168.130.0/24</t>
  </si>
  <si>
    <t xml:space="preserve">Tenant-Tunneling GRE/VXLAN </t>
  </si>
  <si>
    <t>192.168.140.0/24</t>
  </si>
  <si>
    <t>192.168.140.1-2</t>
  </si>
  <si>
    <t>192.168.170.0/24</t>
  </si>
  <si>
    <t>192.168.170.1-2</t>
  </si>
  <si>
    <t>192.168.180.0/24</t>
  </si>
  <si>
    <t>192.168.180.1-2</t>
  </si>
  <si>
    <t xml:space="preserve">tagged bond0 VLANs 201-250 </t>
  </si>
  <si>
    <t>192.168.201-250.0/24</t>
  </si>
  <si>
    <t>100.84.113.128/26</t>
  </si>
  <si>
    <t xml:space="preserve">gw: 100.84.113.193 255.255.255.192    DNS:100.82.32.10    </t>
  </si>
  <si>
    <t>100.84.113.192/26</t>
  </si>
  <si>
    <t>gw: 100.84.113.129 255.255.255.192   DNS:100.84.112.5</t>
  </si>
  <si>
    <t>ESXi</t>
  </si>
  <si>
    <t>R640</t>
  </si>
  <si>
    <t>R640#2</t>
  </si>
  <si>
    <t>R640#3</t>
  </si>
  <si>
    <t>R640#4</t>
  </si>
  <si>
    <t>R640#5</t>
  </si>
  <si>
    <t>R640#6</t>
  </si>
  <si>
    <t>R640#7</t>
  </si>
  <si>
    <t>R740xd#1</t>
  </si>
  <si>
    <t>R740xd#2</t>
  </si>
  <si>
    <t>R740xd#3</t>
  </si>
  <si>
    <t>T</t>
  </si>
  <si>
    <t>Tenant Tunnel Network</t>
  </si>
  <si>
    <t>Tenant Network End</t>
  </si>
  <si>
    <t>U</t>
  </si>
  <si>
    <t>1000BaseT</t>
  </si>
  <si>
    <t>QSFP28-25G</t>
  </si>
  <si>
    <t>Compute 1</t>
  </si>
  <si>
    <t>Compute 2</t>
  </si>
  <si>
    <t>Compute 3</t>
  </si>
  <si>
    <t>Controller 1</t>
  </si>
  <si>
    <t>Controller 2</t>
  </si>
  <si>
    <t>Controller 3</t>
  </si>
  <si>
    <t>Storage 3</t>
  </si>
  <si>
    <t>QSFP28</t>
  </si>
  <si>
    <t>VLT</t>
  </si>
  <si>
    <t>10G-Copper</t>
  </si>
  <si>
    <t>S3048 TE 1/51</t>
  </si>
  <si>
    <t>em1</t>
  </si>
  <si>
    <t>em2</t>
  </si>
  <si>
    <t>S3048 TE 1/52</t>
  </si>
  <si>
    <t>Uplink to Core</t>
  </si>
  <si>
    <t>Uplink to core</t>
  </si>
  <si>
    <t>p2p1</t>
  </si>
  <si>
    <t>p2p2</t>
  </si>
  <si>
    <t>TBD</t>
  </si>
  <si>
    <t>Z9100.1</t>
  </si>
  <si>
    <t>xxx.xxx.xxx.xxx/xx</t>
  </si>
  <si>
    <t>Networksc</t>
  </si>
  <si>
    <t>Compute  1</t>
  </si>
  <si>
    <t>Compute  2</t>
  </si>
  <si>
    <t>Compute  3</t>
  </si>
  <si>
    <t>Z9100-1</t>
  </si>
  <si>
    <t>Z9100-2</t>
  </si>
  <si>
    <t>Director</t>
  </si>
  <si>
    <t>Storage Console</t>
  </si>
  <si>
    <t>twentyFiveGigE 1/1/1</t>
  </si>
  <si>
    <t>twentyFiveGigE 1/1/2</t>
  </si>
  <si>
    <t>twentyFiveGigE 1/1/3</t>
  </si>
  <si>
    <t>twentyFiveGigE 1/1/4</t>
  </si>
  <si>
    <t>twentyFiveGigE 1/2/1</t>
  </si>
  <si>
    <t>twentyFiveGigE 1/2/2</t>
  </si>
  <si>
    <t>twentyFiveGigE 1/2/3</t>
  </si>
  <si>
    <t>twentyFiveGigE 1/2/4</t>
  </si>
  <si>
    <t>twentyFiveGigE 1/5/1</t>
  </si>
  <si>
    <t>twentyFiveGigE 1/5/2</t>
  </si>
  <si>
    <t>twentyFiveGigE 1/5/3</t>
  </si>
  <si>
    <t>twentyFiveGigE 1/5/4</t>
  </si>
  <si>
    <t>twentyFiveGigE 1/13/1</t>
  </si>
  <si>
    <t>twentyFiveGigE 1/13/2</t>
  </si>
  <si>
    <t>twentyFiveGigE 1/13/3</t>
  </si>
  <si>
    <t>twentyFiveGigE 1/13/4</t>
  </si>
  <si>
    <t>twentyFiveGigE 1/14/1</t>
  </si>
  <si>
    <t>twentyFiveGigE 1/14/2</t>
  </si>
  <si>
    <t>twentyFiveGigE 1/14/3</t>
  </si>
  <si>
    <t>twentyFiveGigE 1/14/4</t>
  </si>
  <si>
    <t>twentyFiveGigE 1/17/1</t>
  </si>
  <si>
    <t>twentyFiveGigE 1/17/2</t>
  </si>
  <si>
    <t>twentyFiveGigE 1/17/3</t>
  </si>
  <si>
    <t>twentyFiveGigE 1/17/4</t>
  </si>
  <si>
    <t>hundredGigE 1/3</t>
  </si>
  <si>
    <t>hundredGigE 1/4</t>
  </si>
  <si>
    <t>hundredGigE 1/6</t>
  </si>
  <si>
    <t>hundredGigE 1/7</t>
  </si>
  <si>
    <t>hundredGigE 1/8</t>
  </si>
  <si>
    <t>hundredGigE 1/9</t>
  </si>
  <si>
    <t>hundredGigE 1/10</t>
  </si>
  <si>
    <t>hundredGigE 1/11</t>
  </si>
  <si>
    <t>hundredGigE 1/12</t>
  </si>
  <si>
    <t>hundredGigE 1/15</t>
  </si>
  <si>
    <t>hundredGigE 1/16</t>
  </si>
  <si>
    <t>hundredGigE 1/18</t>
  </si>
  <si>
    <t>hundredGigE 1/19</t>
  </si>
  <si>
    <t>hundredGigE 1/20</t>
  </si>
  <si>
    <t>hundredGigE 1/21</t>
  </si>
  <si>
    <t>hundredGigE 1/22</t>
  </si>
  <si>
    <t>hundredGigE 1/23</t>
  </si>
  <si>
    <t>hundredGigE 1/24</t>
  </si>
  <si>
    <t>hundredGigE 1/25</t>
  </si>
  <si>
    <t>hundredGigE 1/26</t>
  </si>
  <si>
    <t>hundredGigE 1/27</t>
  </si>
  <si>
    <t>hundredGigE 1/28</t>
  </si>
  <si>
    <t>hundredGigE 1/29</t>
  </si>
  <si>
    <t>hundredGigE 1/30</t>
  </si>
  <si>
    <t>hundredGigE 1/31</t>
  </si>
  <si>
    <t>hundredGigE 1/32</t>
  </si>
  <si>
    <t>TenGigabitEthernet 1/34</t>
  </si>
  <si>
    <t>LoGigabitEthernetn Methods</t>
  </si>
  <si>
    <t>Authentication LoGigabitEthernetn 1st Method</t>
  </si>
  <si>
    <t>Authentication LoGigabitEthernetn 2nd Method</t>
  </si>
  <si>
    <t>Tenant Network BeGigabitEthernetnning</t>
  </si>
  <si>
    <t>GigabitEthernet 1/1</t>
  </si>
  <si>
    <t>GigabitEthernet 1/2</t>
  </si>
  <si>
    <t>GigabitEthernet 1/3</t>
  </si>
  <si>
    <t>GigabitEthernet 1/4</t>
  </si>
  <si>
    <t>GigabitEthernet 1/5</t>
  </si>
  <si>
    <t>GigabitEthernet 1/6</t>
  </si>
  <si>
    <t>GigabitEthernet 1/7</t>
  </si>
  <si>
    <t>GigabitEthernet 1/8</t>
  </si>
  <si>
    <t>GigabitEthernet 1/9</t>
  </si>
  <si>
    <t>GigabitEthernet 1/10</t>
  </si>
  <si>
    <t>GigabitEthernet 1/11</t>
  </si>
  <si>
    <t>GigabitEthernet 1/12</t>
  </si>
  <si>
    <t>GigabitEthernet 1/13</t>
  </si>
  <si>
    <t>GigabitEthernet 1/14</t>
  </si>
  <si>
    <t>GigabitEthernet 1/15</t>
  </si>
  <si>
    <t>GigabitEthernet 1/16</t>
  </si>
  <si>
    <t>GigabitEthernet 1/17</t>
  </si>
  <si>
    <t>GigabitEthernet 1/18</t>
  </si>
  <si>
    <t>GigabitEthernet 1/19</t>
  </si>
  <si>
    <t>GigabitEthernet 1/20</t>
  </si>
  <si>
    <t>GigabitEthernet 1/21</t>
  </si>
  <si>
    <t>GigabitEthernet 1/22</t>
  </si>
  <si>
    <t>GigabitEthernet 1/23</t>
  </si>
  <si>
    <t>GigabitEthernet 1/24</t>
  </si>
  <si>
    <t>GigabitEthernet 1/25</t>
  </si>
  <si>
    <t>GigabitEthernet 1/26</t>
  </si>
  <si>
    <t>GigabitEthernet 1/27</t>
  </si>
  <si>
    <t>GigabitEthernet 1/28</t>
  </si>
  <si>
    <t>GigabitEthernet 1/29</t>
  </si>
  <si>
    <t>GigabitEthernet 1/30</t>
  </si>
  <si>
    <t>GigabitEthernet 1/31</t>
  </si>
  <si>
    <t>GigabitEthernet 1/32</t>
  </si>
  <si>
    <t>GigabitEthernet 1/33</t>
  </si>
  <si>
    <t>GigabitEthernet 1/34</t>
  </si>
  <si>
    <t>GigabitEthernet 1/35</t>
  </si>
  <si>
    <t>GigabitEthernet 1/36</t>
  </si>
  <si>
    <t>GigabitEthernet 1/37</t>
  </si>
  <si>
    <t>GigabitEthernet 1/38</t>
  </si>
  <si>
    <t>GigabitEthernet 1/39</t>
  </si>
  <si>
    <t>GigabitEthernet 1/40</t>
  </si>
  <si>
    <t>GigabitEthernet 1/41</t>
  </si>
  <si>
    <t>GigabitEthernet 1/42</t>
  </si>
  <si>
    <t>GigabitEthernet 1/43</t>
  </si>
  <si>
    <t>GigabitEthernet 1/44</t>
  </si>
  <si>
    <t>GigabitEthernet 1/45</t>
  </si>
  <si>
    <t>GigabitEthernet 1/46</t>
  </si>
  <si>
    <t>GigabitEthernet 1/47</t>
  </si>
  <si>
    <t>GigabitEthernet 1/48</t>
  </si>
  <si>
    <t>TenGigabitEthernetEthernet 1/33</t>
  </si>
  <si>
    <t>TenGigabitEthernetEthernet 1/34</t>
  </si>
  <si>
    <t>tenGigabitEthernetgbit 1/33</t>
  </si>
  <si>
    <t>tenGigabitEthernetgbit 1/34</t>
  </si>
  <si>
    <t>TenGigabitEthernet1/49</t>
  </si>
  <si>
    <t>TenGigabitEthernet 1/50</t>
  </si>
  <si>
    <t>TenGigabitEthernet1/51</t>
  </si>
  <si>
    <t>TenGigabitEthernet1/52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</si>
</sst>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4" formatCode="_(&quot;$&quot;* #,##0.00_);_(&quot;$&quot;* \(#,##0.00\);_(&quot;$&quot;* &quot;-&quot;??_);_(@_)"/>
    <numFmt numFmtId="164" formatCode="_-* #,##0\ _D_M_-;\-* #,##0\ _D_M_-;_-* &quot;-&quot;\ _D_M_-;_-@_-"/>
    <numFmt numFmtId="165" formatCode="_-* #,##0\ _F_-;\-* #,##0\ _F_-;_-* &quot;-&quot;\ _F_-;_-@_-"/>
    <numFmt numFmtId="166" formatCode="_-* #,##0.00\ _F_-;\-* #,##0.00\ _F_-;_-* &quot;-&quot;??\ _F_-;_-@_-"/>
    <numFmt numFmtId="167" formatCode="_-* #,##0\ &quot;DM&quot;_-;\-* #,##0\ &quot;DM&quot;_-;_-* &quot;-&quot;\ &quot;DM&quot;_-;_-@_-"/>
    <numFmt numFmtId="168" formatCode="_-* #,##0.00\ &quot;DM&quot;_-;\-* #,##0.00\ &quot;DM&quot;_-;_-* &quot;-&quot;??\ &quot;DM&quot;_-;_-@_-"/>
    <numFmt numFmtId="169" formatCode="_-* #,##0\ &quot;F&quot;_-;\-* #,##0\ &quot;F&quot;_-;_-* &quot;-&quot;\ &quot;F&quot;_-;_-@_-"/>
    <numFmt numFmtId="170" formatCode="_-* #,##0.00\ &quot;F&quot;_-;\-* #,##0.00\ &quot;F&quot;_-;_-* &quot;-&quot;??\ &quot;F&quot;_-;_-@_-"/>
    <numFmt numFmtId="171" formatCode="&quot;£&quot;#,##0;[Red]\-&quot;£&quot;#,##0"/>
    <numFmt numFmtId="172" formatCode="&quot;£&quot;#,##0.00;[Red]\-&quot;£&quot;#,##0.00"/>
    <numFmt numFmtId="173" formatCode="_-&quot;£&quot;* #,##0_-;\-&quot;£&quot;* #,##0_-;_-&quot;£&quot;* &quot;-&quot;_-;_-@_-"/>
    <numFmt numFmtId="174" formatCode="_-&quot;£&quot;* #,##0.00_-;\-&quot;£&quot;* #,##0.00_-;_-&quot;£&quot;* &quot;-&quot;??_-;_-@_-"/>
  </numFmts>
  <fonts count="7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0"/>
      <name val="Helv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b/>
      <i/>
      <u/>
      <sz val="14"/>
      <name val="Arial"/>
      <family val="2"/>
    </font>
    <font>
      <sz val="10"/>
      <color indexed="8"/>
      <name val="Arial"/>
      <family val="2"/>
    </font>
    <font>
      <b/>
      <sz val="11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9"/>
      <name val="Arial"/>
      <family val="2"/>
    </font>
    <font>
      <b/>
      <sz val="18"/>
      <color indexed="56"/>
      <name val="Cambria"/>
      <family val="2"/>
    </font>
    <font>
      <b/>
      <sz val="16"/>
      <color indexed="62"/>
      <name val="Arial"/>
      <family val="2"/>
    </font>
    <font>
      <b/>
      <sz val="11"/>
      <color indexed="8"/>
      <name val="Calibri"/>
      <family val="2"/>
    </font>
    <font>
      <sz val="10"/>
      <name val="MS Sans Serif"/>
      <family val="2"/>
    </font>
    <font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b/>
      <sz val="11"/>
      <color theme="0"/>
      <name val="Calibri"/>
      <family val="2"/>
      <scheme val="minor"/>
    </font>
    <font>
      <b/>
      <sz val="14"/>
      <color theme="1"/>
      <name val="Trebuchet MS"/>
      <family val="2"/>
    </font>
    <font>
      <sz val="10"/>
      <name val="Arial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53"/>
      <name val="Calibri"/>
      <family val="2"/>
    </font>
    <font>
      <sz val="10"/>
      <color indexed="8"/>
      <name val="MS Sans Serif"/>
      <family val="2"/>
    </font>
    <font>
      <sz val="11"/>
      <color theme="1"/>
      <name val="Times New Roman"/>
      <family val="2"/>
    </font>
    <font>
      <b/>
      <sz val="18"/>
      <color indexed="62"/>
      <name val="Cambria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vertAlign val="superscript"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9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theme="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25"/>
        <bgColor indexed="2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9"/>
        <bgColor indexed="49"/>
      </patternFill>
    </fill>
    <fill>
      <patternFill patternType="solid">
        <fgColor indexed="47"/>
        <bgColor indexed="47"/>
      </patternFill>
    </fill>
    <fill>
      <patternFill patternType="solid">
        <fgColor indexed="52"/>
        <bgColor indexed="52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 style="medium">
        <color theme="0"/>
      </bottom>
      <diagonal/>
    </border>
    <border>
      <left/>
      <right/>
      <top style="thin">
        <color theme="0"/>
      </top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/>
      <top style="medium">
        <color theme="0"/>
      </top>
      <bottom style="thin">
        <color theme="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medium">
        <color indexed="4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629">
    <xf numFmtId="0" fontId="0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7" fillId="0" borderId="0"/>
    <xf numFmtId="0" fontId="8" fillId="21" borderId="2" applyNumberFormat="0" applyAlignment="0" applyProtection="0"/>
    <xf numFmtId="0" fontId="8" fillId="21" borderId="2" applyNumberFormat="0" applyAlignment="0" applyProtection="0"/>
    <xf numFmtId="0" fontId="8" fillId="21" borderId="2" applyNumberFormat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0" fontId="12" fillId="0" borderId="0">
      <alignment horizontal="left"/>
    </xf>
    <xf numFmtId="0" fontId="13" fillId="0" borderId="3" applyNumberFormat="0" applyFill="0" applyAlignment="0" applyProtection="0"/>
    <xf numFmtId="0" fontId="13" fillId="0" borderId="3" applyNumberFormat="0" applyFill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0" fontId="16" fillId="0" borderId="0" applyNumberFormat="0" applyFill="0" applyBorder="0" applyAlignment="0" applyProtection="0">
      <alignment vertical="top"/>
      <protection locked="0"/>
    </xf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0" fontId="17" fillId="7" borderId="1" applyNumberFormat="0" applyAlignment="0" applyProtection="0"/>
    <xf numFmtId="0" fontId="17" fillId="7" borderId="1" applyNumberFormat="0" applyAlignment="0" applyProtection="0"/>
    <xf numFmtId="0" fontId="17" fillId="7" borderId="1" applyNumberFormat="0" applyAlignment="0" applyProtection="0"/>
    <xf numFmtId="0" fontId="18" fillId="0" borderId="7" applyNumberFormat="0" applyFill="0" applyAlignment="0" applyProtection="0"/>
    <xf numFmtId="0" fontId="18" fillId="0" borderId="7" applyNumberFormat="0" applyFill="0" applyAlignment="0" applyProtection="0"/>
    <xf numFmtId="0" fontId="18" fillId="0" borderId="7" applyNumberFormat="0" applyFill="0" applyAlignment="0" applyProtection="0"/>
    <xf numFmtId="0" fontId="19" fillId="0" borderId="0">
      <alignment horizontal="left"/>
    </xf>
    <xf numFmtId="164" fontId="1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21" fillId="0" borderId="8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0" fontId="22" fillId="23" borderId="0" applyNumberFormat="0" applyBorder="0" applyAlignment="0" applyProtection="0"/>
    <xf numFmtId="0" fontId="22" fillId="23" borderId="0" applyNumberFormat="0" applyBorder="0" applyAlignment="0" applyProtection="0"/>
    <xf numFmtId="0" fontId="22" fillId="23" borderId="0" applyNumberFormat="0" applyBorder="0" applyAlignment="0" applyProtection="0"/>
    <xf numFmtId="0" fontId="1" fillId="0" borderId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24" fillId="0" borderId="0"/>
    <xf numFmtId="0" fontId="1" fillId="24" borderId="9" applyNumberFormat="0" applyFont="0" applyAlignment="0" applyProtection="0"/>
    <xf numFmtId="0" fontId="1" fillId="24" borderId="9" applyNumberFormat="0" applyFont="0" applyAlignment="0" applyProtection="0"/>
    <xf numFmtId="0" fontId="1" fillId="24" borderId="9" applyNumberFormat="0" applyFont="0" applyAlignment="0" applyProtection="0"/>
    <xf numFmtId="3" fontId="2" fillId="0" borderId="10" applyBorder="0"/>
    <xf numFmtId="3" fontId="2" fillId="0" borderId="10" applyBorder="0"/>
    <xf numFmtId="3" fontId="2" fillId="0" borderId="10" applyBorder="0"/>
    <xf numFmtId="3" fontId="2" fillId="0" borderId="10" applyBorder="0"/>
    <xf numFmtId="3" fontId="2" fillId="0" borderId="10" applyBorder="0"/>
    <xf numFmtId="0" fontId="25" fillId="20" borderId="11" applyNumberFormat="0" applyAlignment="0" applyProtection="0"/>
    <xf numFmtId="0" fontId="25" fillId="20" borderId="11" applyNumberFormat="0" applyAlignment="0" applyProtection="0"/>
    <xf numFmtId="0" fontId="25" fillId="20" borderId="11" applyNumberFormat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2" fillId="0" borderId="0"/>
    <xf numFmtId="0" fontId="21" fillId="0" borderId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9" fillId="0" borderId="13" applyNumberFormat="0" applyFill="0" applyAlignment="0" applyProtection="0"/>
    <xf numFmtId="0" fontId="29" fillId="0" borderId="13" applyNumberFormat="0" applyFill="0" applyAlignment="0" applyProtection="0"/>
    <xf numFmtId="0" fontId="29" fillId="0" borderId="13" applyNumberFormat="0" applyFill="0" applyAlignment="0" applyProtection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8" fontId="30" fillId="0" borderId="0" applyFont="0" applyFill="0" applyBorder="0" applyAlignment="0" applyProtection="0"/>
    <xf numFmtId="40" fontId="30" fillId="0" borderId="0" applyFont="0" applyFill="0" applyBorder="0" applyAlignment="0" applyProtection="0"/>
    <xf numFmtId="171" fontId="30" fillId="0" borderId="0" applyFont="0" applyFill="0" applyBorder="0" applyAlignment="0" applyProtection="0"/>
    <xf numFmtId="172" fontId="30" fillId="0" borderId="0" applyFont="0" applyFill="0" applyBorder="0" applyAlignment="0" applyProtection="0"/>
    <xf numFmtId="173" fontId="1" fillId="0" borderId="0" applyFont="0" applyFill="0" applyBorder="0" applyAlignment="0" applyProtection="0"/>
    <xf numFmtId="174" fontId="1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7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50" fillId="46" borderId="0" applyNumberFormat="0" applyBorder="0" applyAlignment="0" applyProtection="0"/>
    <xf numFmtId="0" fontId="50" fillId="46" borderId="0" applyNumberFormat="0" applyBorder="0" applyAlignment="0" applyProtection="0"/>
    <xf numFmtId="0" fontId="50" fillId="46" borderId="0" applyNumberFormat="0" applyBorder="0" applyAlignment="0" applyProtection="0"/>
    <xf numFmtId="0" fontId="50" fillId="46" borderId="0" applyNumberFormat="0" applyBorder="0" applyAlignment="0" applyProtection="0"/>
    <xf numFmtId="0" fontId="50" fillId="50" borderId="0" applyNumberFormat="0" applyBorder="0" applyAlignment="0" applyProtection="0"/>
    <xf numFmtId="0" fontId="50" fillId="50" borderId="0" applyNumberFormat="0" applyBorder="0" applyAlignment="0" applyProtection="0"/>
    <xf numFmtId="0" fontId="50" fillId="50" borderId="0" applyNumberFormat="0" applyBorder="0" applyAlignment="0" applyProtection="0"/>
    <xf numFmtId="0" fontId="50" fillId="50" borderId="0" applyNumberFormat="0" applyBorder="0" applyAlignment="0" applyProtection="0"/>
    <xf numFmtId="0" fontId="50" fillId="54" borderId="0" applyNumberFormat="0" applyBorder="0" applyAlignment="0" applyProtection="0"/>
    <xf numFmtId="0" fontId="50" fillId="54" borderId="0" applyNumberFormat="0" applyBorder="0" applyAlignment="0" applyProtection="0"/>
    <xf numFmtId="0" fontId="50" fillId="54" borderId="0" applyNumberFormat="0" applyBorder="0" applyAlignment="0" applyProtection="0"/>
    <xf numFmtId="0" fontId="50" fillId="54" borderId="0" applyNumberFormat="0" applyBorder="0" applyAlignment="0" applyProtection="0"/>
    <xf numFmtId="0" fontId="50" fillId="56" borderId="0" applyNumberFormat="0" applyBorder="0" applyAlignment="0" applyProtection="0"/>
    <xf numFmtId="0" fontId="50" fillId="56" borderId="0" applyNumberFormat="0" applyBorder="0" applyAlignment="0" applyProtection="0"/>
    <xf numFmtId="0" fontId="50" fillId="56" borderId="0" applyNumberFormat="0" applyBorder="0" applyAlignment="0" applyProtection="0"/>
    <xf numFmtId="0" fontId="50" fillId="56" borderId="0" applyNumberFormat="0" applyBorder="0" applyAlignment="0" applyProtection="0"/>
    <xf numFmtId="0" fontId="50" fillId="58" borderId="0" applyNumberFormat="0" applyBorder="0" applyAlignment="0" applyProtection="0"/>
    <xf numFmtId="0" fontId="50" fillId="58" borderId="0" applyNumberFormat="0" applyBorder="0" applyAlignment="0" applyProtection="0"/>
    <xf numFmtId="0" fontId="50" fillId="58" borderId="0" applyNumberFormat="0" applyBorder="0" applyAlignment="0" applyProtection="0"/>
    <xf numFmtId="0" fontId="50" fillId="58" borderId="0" applyNumberFormat="0" applyBorder="0" applyAlignment="0" applyProtection="0"/>
    <xf numFmtId="0" fontId="50" fillId="62" borderId="0" applyNumberFormat="0" applyBorder="0" applyAlignment="0" applyProtection="0"/>
    <xf numFmtId="0" fontId="50" fillId="62" borderId="0" applyNumberFormat="0" applyBorder="0" applyAlignment="0" applyProtection="0"/>
    <xf numFmtId="0" fontId="50" fillId="62" borderId="0" applyNumberFormat="0" applyBorder="0" applyAlignment="0" applyProtection="0"/>
    <xf numFmtId="0" fontId="50" fillId="62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4" fillId="64" borderId="0" applyNumberFormat="0" applyBorder="0" applyAlignment="0" applyProtection="0"/>
    <xf numFmtId="0" fontId="4" fillId="65" borderId="0" applyNumberFormat="0" applyBorder="0" applyAlignment="0" applyProtection="0"/>
    <xf numFmtId="0" fontId="4" fillId="65" borderId="0" applyNumberFormat="0" applyBorder="0" applyAlignment="0" applyProtection="0"/>
    <xf numFmtId="0" fontId="50" fillId="43" borderId="0" applyNumberFormat="0" applyBorder="0" applyAlignment="0" applyProtection="0"/>
    <xf numFmtId="0" fontId="50" fillId="43" borderId="0" applyNumberFormat="0" applyBorder="0" applyAlignment="0" applyProtection="0"/>
    <xf numFmtId="0" fontId="50" fillId="43" borderId="0" applyNumberFormat="0" applyBorder="0" applyAlignment="0" applyProtection="0"/>
    <xf numFmtId="0" fontId="50" fillId="43" borderId="0" applyNumberFormat="0" applyBorder="0" applyAlignment="0" applyProtection="0"/>
    <xf numFmtId="0" fontId="3" fillId="66" borderId="0" applyNumberFormat="0" applyBorder="0" applyAlignment="0" applyProtection="0"/>
    <xf numFmtId="0" fontId="3" fillId="67" borderId="0" applyNumberFormat="0" applyBorder="0" applyAlignment="0" applyProtection="0"/>
    <xf numFmtId="0" fontId="4" fillId="68" borderId="0" applyNumberFormat="0" applyBorder="0" applyAlignment="0" applyProtection="0"/>
    <xf numFmtId="0" fontId="4" fillId="69" borderId="0" applyNumberFormat="0" applyBorder="0" applyAlignment="0" applyProtection="0"/>
    <xf numFmtId="0" fontId="4" fillId="69" borderId="0" applyNumberFormat="0" applyBorder="0" applyAlignment="0" applyProtection="0"/>
    <xf numFmtId="0" fontId="50" fillId="47" borderId="0" applyNumberFormat="0" applyBorder="0" applyAlignment="0" applyProtection="0"/>
    <xf numFmtId="0" fontId="50" fillId="47" borderId="0" applyNumberFormat="0" applyBorder="0" applyAlignment="0" applyProtection="0"/>
    <xf numFmtId="0" fontId="50" fillId="47" borderId="0" applyNumberFormat="0" applyBorder="0" applyAlignment="0" applyProtection="0"/>
    <xf numFmtId="0" fontId="50" fillId="47" borderId="0" applyNumberFormat="0" applyBorder="0" applyAlignment="0" applyProtection="0"/>
    <xf numFmtId="0" fontId="3" fillId="66" borderId="0" applyNumberFormat="0" applyBorder="0" applyAlignment="0" applyProtection="0"/>
    <xf numFmtId="0" fontId="3" fillId="70" borderId="0" applyNumberFormat="0" applyBorder="0" applyAlignment="0" applyProtection="0"/>
    <xf numFmtId="0" fontId="4" fillId="67" borderId="0" applyNumberFormat="0" applyBorder="0" applyAlignment="0" applyProtection="0"/>
    <xf numFmtId="0" fontId="4" fillId="68" borderId="0" applyNumberFormat="0" applyBorder="0" applyAlignment="0" applyProtection="0"/>
    <xf numFmtId="0" fontId="4" fillId="68" borderId="0" applyNumberFormat="0" applyBorder="0" applyAlignment="0" applyProtection="0"/>
    <xf numFmtId="0" fontId="50" fillId="51" borderId="0" applyNumberFormat="0" applyBorder="0" applyAlignment="0" applyProtection="0"/>
    <xf numFmtId="0" fontId="50" fillId="51" borderId="0" applyNumberFormat="0" applyBorder="0" applyAlignment="0" applyProtection="0"/>
    <xf numFmtId="0" fontId="50" fillId="51" borderId="0" applyNumberFormat="0" applyBorder="0" applyAlignment="0" applyProtection="0"/>
    <xf numFmtId="0" fontId="50" fillId="51" borderId="0" applyNumberFormat="0" applyBorder="0" applyAlignment="0" applyProtection="0"/>
    <xf numFmtId="0" fontId="3" fillId="63" borderId="0" applyNumberFormat="0" applyBorder="0" applyAlignment="0" applyProtection="0"/>
    <xf numFmtId="0" fontId="3" fillId="67" borderId="0" applyNumberFormat="0" applyBorder="0" applyAlignment="0" applyProtection="0"/>
    <xf numFmtId="0" fontId="4" fillId="67" borderId="0" applyNumberFormat="0" applyBorder="0" applyAlignment="0" applyProtection="0"/>
    <xf numFmtId="0" fontId="4" fillId="65" borderId="0" applyNumberFormat="0" applyBorder="0" applyAlignment="0" applyProtection="0"/>
    <xf numFmtId="0" fontId="4" fillId="65" borderId="0" applyNumberFormat="0" applyBorder="0" applyAlignment="0" applyProtection="0"/>
    <xf numFmtId="0" fontId="3" fillId="71" borderId="0" applyNumberFormat="0" applyBorder="0" applyAlignment="0" applyProtection="0"/>
    <xf numFmtId="0" fontId="3" fillId="63" borderId="0" applyNumberFormat="0" applyBorder="0" applyAlignment="0" applyProtection="0"/>
    <xf numFmtId="0" fontId="4" fillId="64" borderId="0" applyNumberFormat="0" applyBorder="0" applyAlignment="0" applyProtection="0"/>
    <xf numFmtId="0" fontId="4" fillId="72" borderId="0" applyNumberFormat="0" applyBorder="0" applyAlignment="0" applyProtection="0"/>
    <xf numFmtId="0" fontId="4" fillId="72" borderId="0" applyNumberFormat="0" applyBorder="0" applyAlignment="0" applyProtection="0"/>
    <xf numFmtId="0" fontId="3" fillId="66" borderId="0" applyNumberFormat="0" applyBorder="0" applyAlignment="0" applyProtection="0"/>
    <xf numFmtId="0" fontId="3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50" fillId="59" borderId="0" applyNumberFormat="0" applyBorder="0" applyAlignment="0" applyProtection="0"/>
    <xf numFmtId="0" fontId="50" fillId="59" borderId="0" applyNumberFormat="0" applyBorder="0" applyAlignment="0" applyProtection="0"/>
    <xf numFmtId="0" fontId="50" fillId="59" borderId="0" applyNumberFormat="0" applyBorder="0" applyAlignment="0" applyProtection="0"/>
    <xf numFmtId="0" fontId="50" fillId="59" borderId="0" applyNumberFormat="0" applyBorder="0" applyAlignment="0" applyProtection="0"/>
    <xf numFmtId="0" fontId="51" fillId="75" borderId="0" applyNumberFormat="0" applyBorder="0" applyAlignment="0" applyProtection="0"/>
    <xf numFmtId="0" fontId="51" fillId="75" borderId="0" applyNumberFormat="0" applyBorder="0" applyAlignment="0" applyProtection="0"/>
    <xf numFmtId="0" fontId="42" fillId="37" borderId="0" applyNumberFormat="0" applyBorder="0" applyAlignment="0" applyProtection="0"/>
    <xf numFmtId="0" fontId="42" fillId="37" borderId="0" applyNumberFormat="0" applyBorder="0" applyAlignment="0" applyProtection="0"/>
    <xf numFmtId="0" fontId="42" fillId="37" borderId="0" applyNumberFormat="0" applyBorder="0" applyAlignment="0" applyProtection="0"/>
    <xf numFmtId="0" fontId="42" fillId="37" borderId="0" applyNumberFormat="0" applyBorder="0" applyAlignment="0" applyProtection="0"/>
    <xf numFmtId="0" fontId="52" fillId="76" borderId="52" applyNumberFormat="0" applyAlignment="0" applyProtection="0"/>
    <xf numFmtId="0" fontId="52" fillId="76" borderId="52" applyNumberFormat="0" applyAlignment="0" applyProtection="0"/>
    <xf numFmtId="0" fontId="6" fillId="20" borderId="52" applyNumberFormat="0" applyAlignment="0" applyProtection="0"/>
    <xf numFmtId="0" fontId="6" fillId="20" borderId="52" applyNumberFormat="0" applyAlignment="0" applyProtection="0"/>
    <xf numFmtId="0" fontId="6" fillId="20" borderId="52" applyNumberFormat="0" applyAlignment="0" applyProtection="0"/>
    <xf numFmtId="0" fontId="52" fillId="76" borderId="52" applyNumberFormat="0" applyAlignment="0" applyProtection="0"/>
    <xf numFmtId="0" fontId="52" fillId="76" borderId="52" applyNumberFormat="0" applyAlignment="0" applyProtection="0"/>
    <xf numFmtId="0" fontId="46" fillId="40" borderId="45" applyNumberFormat="0" applyAlignment="0" applyProtection="0"/>
    <xf numFmtId="0" fontId="46" fillId="40" borderId="45" applyNumberFormat="0" applyAlignment="0" applyProtection="0"/>
    <xf numFmtId="0" fontId="46" fillId="40" borderId="45" applyNumberFormat="0" applyAlignment="0" applyProtection="0"/>
    <xf numFmtId="0" fontId="46" fillId="40" borderId="45" applyNumberFormat="0" applyAlignment="0" applyProtection="0"/>
    <xf numFmtId="0" fontId="8" fillId="68" borderId="2" applyNumberFormat="0" applyAlignment="0" applyProtection="0"/>
    <xf numFmtId="0" fontId="8" fillId="68" borderId="2" applyNumberFormat="0" applyAlignment="0" applyProtection="0"/>
    <xf numFmtId="0" fontId="35" fillId="41" borderId="48" applyNumberFormat="0" applyAlignment="0" applyProtection="0"/>
    <xf numFmtId="0" fontId="35" fillId="41" borderId="48" applyNumberFormat="0" applyAlignment="0" applyProtection="0"/>
    <xf numFmtId="0" fontId="35" fillId="41" borderId="48" applyNumberFormat="0" applyAlignment="0" applyProtection="0"/>
    <xf numFmtId="0" fontId="35" fillId="41" borderId="48" applyNumberFormat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9" fillId="77" borderId="0" applyNumberFormat="0" applyBorder="0" applyAlignment="0" applyProtection="0"/>
    <xf numFmtId="0" fontId="29" fillId="78" borderId="0" applyNumberFormat="0" applyBorder="0" applyAlignment="0" applyProtection="0"/>
    <xf numFmtId="0" fontId="29" fillId="79" borderId="0" applyNumberFormat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0" fontId="53" fillId="0" borderId="53" applyNumberFormat="0" applyFill="0" applyAlignment="0" applyProtection="0"/>
    <xf numFmtId="0" fontId="53" fillId="0" borderId="53" applyNumberFormat="0" applyFill="0" applyAlignment="0" applyProtection="0"/>
    <xf numFmtId="0" fontId="38" fillId="0" borderId="42" applyNumberFormat="0" applyFill="0" applyAlignment="0" applyProtection="0"/>
    <xf numFmtId="0" fontId="38" fillId="0" borderId="42" applyNumberFormat="0" applyFill="0" applyAlignment="0" applyProtection="0"/>
    <xf numFmtId="0" fontId="38" fillId="0" borderId="42" applyNumberFormat="0" applyFill="0" applyAlignment="0" applyProtection="0"/>
    <xf numFmtId="0" fontId="38" fillId="0" borderId="42" applyNumberFormat="0" applyFill="0" applyAlignment="0" applyProtection="0"/>
    <xf numFmtId="0" fontId="54" fillId="0" borderId="4" applyNumberFormat="0" applyFill="0" applyAlignment="0" applyProtection="0"/>
    <xf numFmtId="0" fontId="54" fillId="0" borderId="4" applyNumberFormat="0" applyFill="0" applyAlignment="0" applyProtection="0"/>
    <xf numFmtId="0" fontId="39" fillId="0" borderId="43" applyNumberFormat="0" applyFill="0" applyAlignment="0" applyProtection="0"/>
    <xf numFmtId="0" fontId="39" fillId="0" borderId="43" applyNumberFormat="0" applyFill="0" applyAlignment="0" applyProtection="0"/>
    <xf numFmtId="0" fontId="39" fillId="0" borderId="43" applyNumberFormat="0" applyFill="0" applyAlignment="0" applyProtection="0"/>
    <xf numFmtId="0" fontId="39" fillId="0" borderId="43" applyNumberFormat="0" applyFill="0" applyAlignment="0" applyProtection="0"/>
    <xf numFmtId="0" fontId="55" fillId="0" borderId="54" applyNumberFormat="0" applyFill="0" applyAlignment="0" applyProtection="0"/>
    <xf numFmtId="0" fontId="55" fillId="0" borderId="54" applyNumberFormat="0" applyFill="0" applyAlignment="0" applyProtection="0"/>
    <xf numFmtId="0" fontId="40" fillId="0" borderId="44" applyNumberFormat="0" applyFill="0" applyAlignment="0" applyProtection="0"/>
    <xf numFmtId="0" fontId="40" fillId="0" borderId="44" applyNumberFormat="0" applyFill="0" applyAlignment="0" applyProtection="0"/>
    <xf numFmtId="0" fontId="40" fillId="0" borderId="44" applyNumberFormat="0" applyFill="0" applyAlignment="0" applyProtection="0"/>
    <xf numFmtId="0" fontId="40" fillId="0" borderId="44" applyNumberFormat="0" applyFill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6" fillId="0" borderId="0" applyNumberFormat="0" applyFill="0" applyBorder="0" applyAlignment="0" applyProtection="0">
      <alignment vertical="top"/>
      <protection locked="0"/>
    </xf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0" fontId="17" fillId="73" borderId="52" applyNumberFormat="0" applyAlignment="0" applyProtection="0"/>
    <xf numFmtId="0" fontId="17" fillId="73" borderId="52" applyNumberFormat="0" applyAlignment="0" applyProtection="0"/>
    <xf numFmtId="0" fontId="17" fillId="7" borderId="52" applyNumberFormat="0" applyAlignment="0" applyProtection="0"/>
    <xf numFmtId="0" fontId="17" fillId="7" borderId="52" applyNumberFormat="0" applyAlignment="0" applyProtection="0"/>
    <xf numFmtId="0" fontId="17" fillId="7" borderId="52" applyNumberFormat="0" applyAlignment="0" applyProtection="0"/>
    <xf numFmtId="0" fontId="17" fillId="73" borderId="52" applyNumberFormat="0" applyAlignment="0" applyProtection="0"/>
    <xf numFmtId="0" fontId="17" fillId="73" borderId="52" applyNumberFormat="0" applyAlignment="0" applyProtection="0"/>
    <xf numFmtId="0" fontId="44" fillId="39" borderId="45" applyNumberFormat="0" applyAlignment="0" applyProtection="0"/>
    <xf numFmtId="0" fontId="44" fillId="39" borderId="45" applyNumberFormat="0" applyAlignment="0" applyProtection="0"/>
    <xf numFmtId="0" fontId="44" fillId="39" borderId="45" applyNumberFormat="0" applyAlignment="0" applyProtection="0"/>
    <xf numFmtId="0" fontId="44" fillId="39" borderId="45" applyNumberFormat="0" applyAlignment="0" applyProtection="0"/>
    <xf numFmtId="0" fontId="56" fillId="0" borderId="7" applyNumberFormat="0" applyFill="0" applyAlignment="0" applyProtection="0"/>
    <xf numFmtId="0" fontId="56" fillId="0" borderId="7" applyNumberFormat="0" applyFill="0" applyAlignment="0" applyProtection="0"/>
    <xf numFmtId="0" fontId="47" fillId="0" borderId="47" applyNumberFormat="0" applyFill="0" applyAlignment="0" applyProtection="0"/>
    <xf numFmtId="0" fontId="47" fillId="0" borderId="47" applyNumberFormat="0" applyFill="0" applyAlignment="0" applyProtection="0"/>
    <xf numFmtId="0" fontId="47" fillId="0" borderId="47" applyNumberFormat="0" applyFill="0" applyAlignment="0" applyProtection="0"/>
    <xf numFmtId="0" fontId="47" fillId="0" borderId="47" applyNumberFormat="0" applyFill="0" applyAlignment="0" applyProtection="0"/>
    <xf numFmtId="0" fontId="22" fillId="80" borderId="0" applyNumberFormat="0" applyBorder="0" applyAlignment="0" applyProtection="0"/>
    <xf numFmtId="0" fontId="22" fillId="80" borderId="0" applyNumberFormat="0" applyBorder="0" applyAlignment="0" applyProtection="0"/>
    <xf numFmtId="0" fontId="43" fillId="38" borderId="0" applyNumberFormat="0" applyBorder="0" applyAlignment="0" applyProtection="0"/>
    <xf numFmtId="0" fontId="43" fillId="38" borderId="0" applyNumberFormat="0" applyBorder="0" applyAlignment="0" applyProtection="0"/>
    <xf numFmtId="0" fontId="43" fillId="38" borderId="0" applyNumberFormat="0" applyBorder="0" applyAlignment="0" applyProtection="0"/>
    <xf numFmtId="0" fontId="43" fillId="38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7" fillId="0" borderId="0"/>
    <xf numFmtId="0" fontId="1" fillId="0" borderId="0"/>
    <xf numFmtId="0" fontId="57" fillId="0" borderId="0"/>
    <xf numFmtId="0" fontId="5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66" borderId="55" applyNumberFormat="0" applyFont="0" applyAlignment="0" applyProtection="0"/>
    <xf numFmtId="0" fontId="1" fillId="66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66" borderId="55" applyNumberFormat="0" applyFont="0" applyAlignment="0" applyProtection="0"/>
    <xf numFmtId="0" fontId="1" fillId="66" borderId="55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0" fontId="25" fillId="76" borderId="57" applyNumberFormat="0" applyAlignment="0" applyProtection="0"/>
    <xf numFmtId="0" fontId="25" fillId="76" borderId="57" applyNumberFormat="0" applyAlignment="0" applyProtection="0"/>
    <xf numFmtId="0" fontId="25" fillId="20" borderId="57" applyNumberFormat="0" applyAlignment="0" applyProtection="0"/>
    <xf numFmtId="0" fontId="25" fillId="20" borderId="57" applyNumberFormat="0" applyAlignment="0" applyProtection="0"/>
    <xf numFmtId="0" fontId="25" fillId="20" borderId="57" applyNumberFormat="0" applyAlignment="0" applyProtection="0"/>
    <xf numFmtId="0" fontId="25" fillId="76" borderId="57" applyNumberFormat="0" applyAlignment="0" applyProtection="0"/>
    <xf numFmtId="0" fontId="25" fillId="76" borderId="57" applyNumberFormat="0" applyAlignment="0" applyProtection="0"/>
    <xf numFmtId="0" fontId="45" fillId="40" borderId="46" applyNumberFormat="0" applyAlignment="0" applyProtection="0"/>
    <xf numFmtId="0" fontId="45" fillId="40" borderId="46" applyNumberFormat="0" applyAlignment="0" applyProtection="0"/>
    <xf numFmtId="0" fontId="45" fillId="40" borderId="46" applyNumberFormat="0" applyAlignment="0" applyProtection="0"/>
    <xf numFmtId="0" fontId="45" fillId="40" borderId="46" applyNumberFormat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0" fontId="59" fillId="0" borderId="0" applyNumberFormat="0" applyFill="0" applyBorder="0" applyAlignment="0" applyProtection="0"/>
    <xf numFmtId="3" fontId="11" fillId="0" borderId="0"/>
    <xf numFmtId="3" fontId="11" fillId="0" borderId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9" fillId="0" borderId="58" applyNumberFormat="0" applyFill="0" applyAlignment="0" applyProtection="0"/>
    <xf numFmtId="0" fontId="29" fillId="0" borderId="58" applyNumberFormat="0" applyFill="0" applyAlignment="0" applyProtection="0"/>
    <xf numFmtId="0" fontId="29" fillId="0" borderId="59" applyNumberFormat="0" applyFill="0" applyAlignment="0" applyProtection="0"/>
    <xf numFmtId="0" fontId="29" fillId="0" borderId="59" applyNumberFormat="0" applyFill="0" applyAlignment="0" applyProtection="0"/>
    <xf numFmtId="0" fontId="29" fillId="0" borderId="59" applyNumberFormat="0" applyFill="0" applyAlignment="0" applyProtection="0"/>
    <xf numFmtId="0" fontId="29" fillId="0" borderId="58" applyNumberFormat="0" applyFill="0" applyAlignment="0" applyProtection="0"/>
    <xf numFmtId="0" fontId="29" fillId="0" borderId="58" applyNumberFormat="0" applyFill="0" applyAlignment="0" applyProtection="0"/>
    <xf numFmtId="0" fontId="33" fillId="0" borderId="50" applyNumberFormat="0" applyFill="0" applyAlignment="0" applyProtection="0"/>
    <xf numFmtId="0" fontId="33" fillId="0" borderId="50" applyNumberFormat="0" applyFill="0" applyAlignment="0" applyProtection="0"/>
    <xf numFmtId="0" fontId="33" fillId="0" borderId="50" applyNumberFormat="0" applyFill="0" applyAlignment="0" applyProtection="0"/>
    <xf numFmtId="0" fontId="33" fillId="0" borderId="50" applyNumberFormat="0" applyFill="0" applyAlignment="0" applyProtection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0" fontId="31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61" fillId="0" borderId="0"/>
    <xf numFmtId="0" fontId="57" fillId="0" borderId="0"/>
    <xf numFmtId="0" fontId="62" fillId="0" borderId="0"/>
  </cellStyleXfs>
  <cellXfs count="155">
    <xf numFmtId="0" fontId="0" fillId="0" borderId="0" xfId="0"/>
    <xf numFmtId="0" fontId="0" fillId="25" borderId="15" xfId="0" applyFill="1" applyBorder="1"/>
    <xf numFmtId="0" fontId="0" fillId="25" borderId="10" xfId="0" applyFill="1" applyBorder="1"/>
    <xf numFmtId="0" fontId="0" fillId="25" borderId="16" xfId="0" applyFill="1" applyBorder="1"/>
    <xf numFmtId="0" fontId="0" fillId="25" borderId="0" xfId="0" applyFill="1" applyBorder="1"/>
    <xf numFmtId="0" fontId="0" fillId="25" borderId="17" xfId="0" applyFill="1" applyBorder="1"/>
    <xf numFmtId="0" fontId="0" fillId="25" borderId="24" xfId="0" applyFill="1" applyBorder="1"/>
    <xf numFmtId="0" fontId="0" fillId="25" borderId="14" xfId="0" applyFill="1" applyBorder="1"/>
    <xf numFmtId="0" fontId="0" fillId="25" borderId="25" xfId="0" applyFill="1" applyBorder="1"/>
    <xf numFmtId="0" fontId="0" fillId="0" borderId="0" xfId="0" applyFont="1"/>
    <xf numFmtId="0" fontId="0" fillId="0" borderId="0" xfId="0" applyAlignment="1">
      <alignment horizontal="center"/>
    </xf>
    <xf numFmtId="0" fontId="0" fillId="25" borderId="29" xfId="0" applyFill="1" applyBorder="1"/>
    <xf numFmtId="0" fontId="0" fillId="0" borderId="29" xfId="0" applyBorder="1"/>
    <xf numFmtId="0" fontId="0" fillId="25" borderId="0" xfId="0" applyFill="1"/>
    <xf numFmtId="0" fontId="33" fillId="32" borderId="41" xfId="0" applyFont="1" applyFill="1" applyBorder="1" applyAlignment="1"/>
    <xf numFmtId="0" fontId="33" fillId="31" borderId="30" xfId="0" applyFont="1" applyFill="1" applyBorder="1" applyAlignment="1"/>
    <xf numFmtId="0" fontId="33" fillId="32" borderId="29" xfId="0" applyFont="1" applyFill="1" applyBorder="1" applyAlignment="1"/>
    <xf numFmtId="0" fontId="33" fillId="31" borderId="29" xfId="0" applyFont="1" applyFill="1" applyBorder="1" applyAlignment="1"/>
    <xf numFmtId="0" fontId="33" fillId="32" borderId="32" xfId="0" applyFont="1" applyFill="1" applyBorder="1" applyAlignment="1"/>
    <xf numFmtId="0" fontId="33" fillId="32" borderId="30" xfId="0" applyFont="1" applyFill="1" applyBorder="1" applyAlignment="1"/>
    <xf numFmtId="0" fontId="33" fillId="32" borderId="29" xfId="0" applyFont="1" applyFill="1" applyBorder="1"/>
    <xf numFmtId="0" fontId="33" fillId="31" borderId="29" xfId="0" applyFont="1" applyFill="1" applyBorder="1"/>
    <xf numFmtId="0" fontId="0" fillId="31" borderId="41" xfId="0" applyFill="1" applyBorder="1" applyAlignment="1" applyProtection="1">
      <alignment horizontal="center"/>
      <protection locked="0"/>
    </xf>
    <xf numFmtId="0" fontId="0" fillId="31" borderId="30" xfId="0" applyFill="1" applyBorder="1" applyAlignment="1" applyProtection="1">
      <alignment horizontal="center"/>
      <protection locked="0"/>
    </xf>
    <xf numFmtId="0" fontId="0" fillId="32" borderId="41" xfId="0" applyFill="1" applyBorder="1" applyAlignment="1" applyProtection="1">
      <alignment horizontal="center"/>
      <protection locked="0"/>
    </xf>
    <xf numFmtId="0" fontId="0" fillId="32" borderId="30" xfId="0" applyFill="1" applyBorder="1" applyAlignment="1" applyProtection="1">
      <alignment horizontal="center"/>
      <protection locked="0"/>
    </xf>
    <xf numFmtId="0" fontId="33" fillId="32" borderId="60" xfId="0" applyFont="1" applyFill="1" applyBorder="1" applyAlignment="1"/>
    <xf numFmtId="0" fontId="33" fillId="31" borderId="32" xfId="0" applyFont="1" applyFill="1" applyBorder="1" applyAlignment="1"/>
    <xf numFmtId="0" fontId="0" fillId="31" borderId="33" xfId="0" applyFill="1" applyBorder="1" applyAlignment="1" applyProtection="1">
      <alignment horizontal="center"/>
      <protection locked="0"/>
    </xf>
    <xf numFmtId="0" fontId="33" fillId="32" borderId="51" xfId="0" applyFont="1" applyFill="1" applyBorder="1" applyAlignment="1"/>
    <xf numFmtId="0" fontId="0" fillId="32" borderId="37" xfId="0" applyFill="1" applyBorder="1" applyAlignment="1" applyProtection="1">
      <alignment horizontal="center"/>
      <protection locked="0"/>
    </xf>
    <xf numFmtId="0" fontId="0" fillId="32" borderId="33" xfId="0" applyFill="1" applyBorder="1" applyAlignment="1" applyProtection="1">
      <alignment horizontal="center"/>
      <protection locked="0"/>
    </xf>
    <xf numFmtId="0" fontId="33" fillId="31" borderId="60" xfId="0" applyFont="1" applyFill="1" applyBorder="1" applyAlignment="1"/>
    <xf numFmtId="0" fontId="33" fillId="31" borderId="51" xfId="0" applyFont="1" applyFill="1" applyBorder="1" applyAlignment="1"/>
    <xf numFmtId="0" fontId="0" fillId="31" borderId="37" xfId="0" applyFill="1" applyBorder="1" applyAlignment="1" applyProtection="1">
      <alignment horizontal="center"/>
      <protection locked="0"/>
    </xf>
    <xf numFmtId="0" fontId="33" fillId="32" borderId="51" xfId="0" applyFont="1" applyFill="1" applyBorder="1"/>
    <xf numFmtId="0" fontId="33" fillId="31" borderId="51" xfId="0" applyFont="1" applyFill="1" applyBorder="1"/>
    <xf numFmtId="0" fontId="0" fillId="25" borderId="56" xfId="0" applyFill="1" applyBorder="1"/>
    <xf numFmtId="0" fontId="0" fillId="25" borderId="18" xfId="0" applyFill="1" applyBorder="1" applyAlignment="1">
      <alignment horizontal="center"/>
    </xf>
    <xf numFmtId="0" fontId="0" fillId="25" borderId="19" xfId="0" applyFill="1" applyBorder="1" applyAlignment="1">
      <alignment horizontal="center"/>
    </xf>
    <xf numFmtId="0" fontId="0" fillId="32" borderId="41" xfId="0" applyFill="1" applyBorder="1" applyAlignment="1" applyProtection="1">
      <alignment horizontal="center"/>
    </xf>
    <xf numFmtId="0" fontId="0" fillId="28" borderId="20" xfId="0" applyFont="1" applyFill="1" applyBorder="1" applyAlignment="1" applyProtection="1">
      <alignment horizontal="left"/>
    </xf>
    <xf numFmtId="0" fontId="0" fillId="29" borderId="20" xfId="0" applyFont="1" applyFill="1" applyBorder="1" applyAlignment="1" applyProtection="1">
      <alignment horizontal="left"/>
    </xf>
    <xf numFmtId="0" fontId="0" fillId="31" borderId="22" xfId="0" applyFill="1" applyBorder="1" applyProtection="1"/>
    <xf numFmtId="0" fontId="33" fillId="32" borderId="41" xfId="0" applyFont="1" applyFill="1" applyBorder="1" applyAlignment="1" applyProtection="1"/>
    <xf numFmtId="0" fontId="0" fillId="0" borderId="0" xfId="0" applyFill="1"/>
    <xf numFmtId="0" fontId="0" fillId="26" borderId="21" xfId="0" applyFill="1" applyBorder="1" applyProtection="1">
      <protection locked="0"/>
    </xf>
    <xf numFmtId="0" fontId="0" fillId="26" borderId="23" xfId="0" applyFill="1" applyBorder="1" applyProtection="1">
      <protection locked="0"/>
    </xf>
    <xf numFmtId="0" fontId="0" fillId="0" borderId="0" xfId="0" applyAlignment="1">
      <alignment wrapText="1"/>
    </xf>
    <xf numFmtId="0" fontId="33" fillId="81" borderId="63" xfId="0" applyFont="1" applyFill="1" applyBorder="1" applyAlignment="1">
      <alignment horizontal="center" vertical="center" wrapText="1"/>
    </xf>
    <xf numFmtId="0" fontId="33" fillId="82" borderId="63" xfId="0" applyFont="1" applyFill="1" applyBorder="1" applyAlignment="1">
      <alignment horizontal="left" vertical="center" wrapText="1"/>
    </xf>
    <xf numFmtId="0" fontId="33" fillId="82" borderId="63" xfId="0" applyFont="1" applyFill="1" applyBorder="1" applyAlignment="1">
      <alignment horizontal="center" vertical="center" wrapText="1"/>
    </xf>
    <xf numFmtId="0" fontId="0" fillId="30" borderId="63" xfId="0" applyFont="1" applyFill="1" applyBorder="1" applyAlignment="1">
      <alignment horizontal="left" vertical="center" wrapText="1"/>
    </xf>
    <xf numFmtId="0" fontId="0" fillId="0" borderId="63" xfId="0" applyBorder="1"/>
    <xf numFmtId="0" fontId="0" fillId="30" borderId="63" xfId="0" applyFont="1" applyFill="1" applyBorder="1"/>
    <xf numFmtId="0" fontId="0" fillId="0" borderId="63" xfId="0" applyFill="1" applyBorder="1"/>
    <xf numFmtId="0" fontId="33" fillId="0" borderId="63" xfId="0" applyFont="1" applyFill="1" applyBorder="1"/>
    <xf numFmtId="0" fontId="0" fillId="30" borderId="16" xfId="0" applyFont="1" applyFill="1" applyBorder="1"/>
    <xf numFmtId="0" fontId="33" fillId="0" borderId="16" xfId="0" applyFont="1" applyFill="1" applyBorder="1"/>
    <xf numFmtId="0" fontId="33" fillId="84" borderId="63" xfId="0" applyFont="1" applyFill="1" applyBorder="1"/>
    <xf numFmtId="0" fontId="33" fillId="0" borderId="0" xfId="0" applyFont="1" applyAlignment="1">
      <alignment horizontal="center"/>
    </xf>
    <xf numFmtId="0" fontId="33" fillId="0" borderId="0" xfId="0" applyFont="1"/>
    <xf numFmtId="0" fontId="0" fillId="84" borderId="63" xfId="0" applyFont="1" applyFill="1" applyBorder="1" applyAlignment="1">
      <alignment horizontal="center"/>
    </xf>
    <xf numFmtId="0" fontId="0" fillId="26" borderId="63" xfId="0" applyFill="1" applyBorder="1" applyAlignment="1">
      <alignment horizontal="center"/>
    </xf>
    <xf numFmtId="0" fontId="0" fillId="89" borderId="63" xfId="0" applyFill="1" applyBorder="1" applyAlignment="1">
      <alignment horizontal="center"/>
    </xf>
    <xf numFmtId="0" fontId="0" fillId="82" borderId="63" xfId="0" applyFill="1" applyBorder="1" applyAlignment="1">
      <alignment horizontal="center"/>
    </xf>
    <xf numFmtId="0" fontId="0" fillId="88" borderId="63" xfId="0" applyFill="1" applyBorder="1" applyAlignment="1">
      <alignment horizontal="center"/>
    </xf>
    <xf numFmtId="0" fontId="0" fillId="86" borderId="63" xfId="0" applyFill="1" applyBorder="1" applyAlignment="1">
      <alignment horizontal="center"/>
    </xf>
    <xf numFmtId="0" fontId="0" fillId="90" borderId="63" xfId="0" applyFill="1" applyBorder="1" applyAlignment="1">
      <alignment horizontal="center"/>
    </xf>
    <xf numFmtId="0" fontId="33" fillId="90" borderId="63" xfId="0" applyFont="1" applyFill="1" applyBorder="1" applyAlignment="1">
      <alignment horizontal="center"/>
    </xf>
    <xf numFmtId="0" fontId="0" fillId="83" borderId="63" xfId="0" applyFill="1" applyBorder="1" applyAlignment="1">
      <alignment horizontal="center"/>
    </xf>
    <xf numFmtId="0" fontId="33" fillId="83" borderId="63" xfId="0" applyFont="1" applyFill="1" applyBorder="1" applyAlignment="1">
      <alignment horizontal="center"/>
    </xf>
    <xf numFmtId="0" fontId="0" fillId="87" borderId="63" xfId="0" applyFont="1" applyFill="1" applyBorder="1" applyAlignment="1">
      <alignment horizontal="center"/>
    </xf>
    <xf numFmtId="0" fontId="60" fillId="85" borderId="63" xfId="0" applyFont="1" applyFill="1" applyBorder="1" applyAlignment="1">
      <alignment horizontal="left" vertical="center" wrapText="1"/>
    </xf>
    <xf numFmtId="0" fontId="60" fillId="35" borderId="62" xfId="0" applyFont="1" applyFill="1" applyBorder="1"/>
    <xf numFmtId="0" fontId="60" fillId="84" borderId="63" xfId="0" applyFont="1" applyFill="1" applyBorder="1" applyAlignment="1">
      <alignment horizontal="left" vertical="center" wrapText="1"/>
    </xf>
    <xf numFmtId="0" fontId="60" fillId="26" borderId="63" xfId="0" applyFont="1" applyFill="1" applyBorder="1" applyAlignment="1">
      <alignment horizontal="left" vertical="center" wrapText="1"/>
    </xf>
    <xf numFmtId="0" fontId="60" fillId="86" borderId="63" xfId="0" applyFont="1" applyFill="1" applyBorder="1" applyAlignment="1">
      <alignment horizontal="left" vertical="center" wrapText="1"/>
    </xf>
    <xf numFmtId="0" fontId="60" fillId="83" borderId="63" xfId="0" applyFont="1" applyFill="1" applyBorder="1" applyAlignment="1">
      <alignment horizontal="left" vertical="center" wrapText="1"/>
    </xf>
    <xf numFmtId="0" fontId="60" fillId="86" borderId="63" xfId="0" applyFont="1" applyFill="1" applyBorder="1"/>
    <xf numFmtId="0" fontId="60" fillId="83" borderId="63" xfId="0" applyFont="1" applyFill="1" applyBorder="1" applyAlignment="1">
      <alignment horizontal="left"/>
    </xf>
    <xf numFmtId="0" fontId="60" fillId="0" borderId="63" xfId="0" applyFont="1" applyBorder="1"/>
    <xf numFmtId="0" fontId="60" fillId="0" borderId="63" xfId="0" applyFont="1" applyFill="1" applyBorder="1" applyAlignment="1">
      <alignment horizontal="left" vertical="center" wrapText="1"/>
    </xf>
    <xf numFmtId="0" fontId="60" fillId="0" borderId="62" xfId="0" applyFont="1" applyFill="1" applyBorder="1"/>
    <xf numFmtId="0" fontId="60" fillId="0" borderId="0" xfId="0" applyFont="1" applyFill="1" applyBorder="1"/>
    <xf numFmtId="0" fontId="60" fillId="0" borderId="40" xfId="0" applyFont="1" applyFill="1" applyBorder="1"/>
    <xf numFmtId="0" fontId="64" fillId="0" borderId="63" xfId="0" applyFont="1" applyFill="1" applyBorder="1"/>
    <xf numFmtId="0" fontId="64" fillId="84" borderId="63" xfId="0" applyFont="1" applyFill="1" applyBorder="1"/>
    <xf numFmtId="0" fontId="65" fillId="0" borderId="63" xfId="0" applyFont="1" applyBorder="1"/>
    <xf numFmtId="0" fontId="65" fillId="83" borderId="63" xfId="0" applyFont="1" applyFill="1" applyBorder="1" applyAlignment="1">
      <alignment horizontal="left"/>
    </xf>
    <xf numFmtId="0" fontId="65" fillId="84" borderId="63" xfId="0" applyFont="1" applyFill="1" applyBorder="1" applyAlignment="1">
      <alignment horizontal="left" vertical="center" wrapText="1"/>
    </xf>
    <xf numFmtId="0" fontId="0" fillId="0" borderId="63" xfId="0" applyFont="1" applyFill="1" applyBorder="1" applyAlignment="1">
      <alignment horizontal="left"/>
    </xf>
    <xf numFmtId="0" fontId="64" fillId="0" borderId="63" xfId="0" applyFont="1" applyFill="1" applyBorder="1" applyAlignment="1">
      <alignment horizontal="left" vertical="center" wrapText="1"/>
    </xf>
    <xf numFmtId="0" fontId="33" fillId="0" borderId="63" xfId="0" applyFont="1" applyFill="1" applyBorder="1" applyAlignment="1">
      <alignment horizontal="right" vertical="center"/>
    </xf>
    <xf numFmtId="0" fontId="60" fillId="0" borderId="63" xfId="0" applyFont="1" applyFill="1" applyBorder="1"/>
    <xf numFmtId="0" fontId="64" fillId="0" borderId="63" xfId="0" applyFont="1" applyFill="1" applyBorder="1" applyAlignment="1">
      <alignment horizontal="left"/>
    </xf>
    <xf numFmtId="0" fontId="67" fillId="27" borderId="34" xfId="0" applyFont="1" applyFill="1" applyBorder="1" applyAlignment="1">
      <alignment horizontal="left"/>
    </xf>
    <xf numFmtId="0" fontId="67" fillId="27" borderId="32" xfId="0" applyFont="1" applyFill="1" applyBorder="1" applyAlignment="1">
      <alignment horizontal="left"/>
    </xf>
    <xf numFmtId="0" fontId="67" fillId="27" borderId="33" xfId="0" applyFont="1" applyFill="1" applyBorder="1" applyAlignment="1">
      <alignment horizontal="left"/>
    </xf>
    <xf numFmtId="0" fontId="67" fillId="27" borderId="0" xfId="0" applyFont="1" applyFill="1" applyBorder="1" applyAlignment="1">
      <alignment horizontal="left"/>
    </xf>
    <xf numFmtId="0" fontId="67" fillId="27" borderId="28" xfId="0" applyFont="1" applyFill="1" applyBorder="1" applyAlignment="1">
      <alignment horizontal="left"/>
    </xf>
    <xf numFmtId="0" fontId="66" fillId="0" borderId="0" xfId="0" applyFont="1" applyAlignment="1">
      <alignment horizontal="left"/>
    </xf>
    <xf numFmtId="0" fontId="67" fillId="27" borderId="35" xfId="0" applyFont="1" applyFill="1" applyBorder="1" applyAlignment="1">
      <alignment horizontal="left"/>
    </xf>
    <xf numFmtId="0" fontId="66" fillId="0" borderId="26" xfId="0" applyFont="1" applyFill="1" applyBorder="1" applyAlignment="1">
      <alignment horizontal="left"/>
    </xf>
    <xf numFmtId="0" fontId="66" fillId="0" borderId="27" xfId="0" applyNumberFormat="1" applyFont="1" applyFill="1" applyBorder="1" applyAlignment="1">
      <alignment horizontal="left"/>
    </xf>
    <xf numFmtId="0" fontId="66" fillId="0" borderId="27" xfId="0" applyFont="1" applyFill="1" applyBorder="1" applyAlignment="1">
      <alignment horizontal="left"/>
    </xf>
    <xf numFmtId="0" fontId="66" fillId="0" borderId="28" xfId="0" applyNumberFormat="1" applyFont="1" applyFill="1" applyBorder="1" applyAlignment="1">
      <alignment horizontal="left"/>
    </xf>
    <xf numFmtId="0" fontId="66" fillId="0" borderId="28" xfId="0" applyFont="1" applyFill="1" applyBorder="1" applyAlignment="1">
      <alignment horizontal="left"/>
    </xf>
    <xf numFmtId="1" fontId="66" fillId="28" borderId="20" xfId="0" applyNumberFormat="1" applyFont="1" applyFill="1" applyBorder="1" applyAlignment="1" applyProtection="1">
      <alignment horizontal="left"/>
    </xf>
    <xf numFmtId="0" fontId="68" fillId="27" borderId="28" xfId="0" applyFont="1" applyFill="1" applyBorder="1" applyAlignment="1">
      <alignment horizontal="left"/>
    </xf>
    <xf numFmtId="0" fontId="66" fillId="0" borderId="0" xfId="0" applyFont="1" applyFill="1" applyAlignment="1">
      <alignment horizontal="left"/>
    </xf>
    <xf numFmtId="3" fontId="66" fillId="0" borderId="28" xfId="0" quotePrefix="1" applyNumberFormat="1" applyFont="1" applyFill="1" applyBorder="1" applyAlignment="1">
      <alignment horizontal="left"/>
    </xf>
    <xf numFmtId="0" fontId="66" fillId="0" borderId="0" xfId="0" applyFont="1" applyFill="1" applyBorder="1" applyAlignment="1">
      <alignment horizontal="left"/>
    </xf>
    <xf numFmtId="0" fontId="66" fillId="28" borderId="29" xfId="0" applyFont="1" applyFill="1" applyBorder="1" applyAlignment="1">
      <alignment horizontal="left"/>
    </xf>
    <xf numFmtId="0" fontId="66" fillId="29" borderId="29" xfId="0" applyFont="1" applyFill="1" applyBorder="1" applyAlignment="1">
      <alignment horizontal="left"/>
    </xf>
    <xf numFmtId="0" fontId="66" fillId="26" borderId="29" xfId="0" applyFont="1" applyFill="1" applyBorder="1" applyAlignment="1" applyProtection="1">
      <alignment horizontal="left"/>
      <protection locked="0"/>
    </xf>
    <xf numFmtId="0" fontId="66" fillId="32" borderId="29" xfId="0" applyFont="1" applyFill="1" applyBorder="1" applyAlignment="1">
      <alignment horizontal="left"/>
    </xf>
    <xf numFmtId="0" fontId="66" fillId="26" borderId="30" xfId="0" applyFont="1" applyFill="1" applyBorder="1" applyAlignment="1" applyProtection="1">
      <alignment horizontal="left"/>
      <protection locked="0"/>
    </xf>
    <xf numFmtId="0" fontId="66" fillId="26" borderId="31" xfId="0" applyFont="1" applyFill="1" applyBorder="1" applyAlignment="1" applyProtection="1">
      <alignment horizontal="left"/>
      <protection locked="0"/>
    </xf>
    <xf numFmtId="0" fontId="66" fillId="30" borderId="29" xfId="0" applyFont="1" applyFill="1" applyBorder="1" applyAlignment="1">
      <alignment horizontal="left"/>
    </xf>
    <xf numFmtId="0" fontId="66" fillId="34" borderId="29" xfId="0" applyFont="1" applyFill="1" applyBorder="1" applyAlignment="1">
      <alignment horizontal="left"/>
    </xf>
    <xf numFmtId="0" fontId="66" fillId="32" borderId="30" xfId="0" applyFont="1" applyFill="1" applyBorder="1" applyAlignment="1">
      <alignment horizontal="left"/>
    </xf>
    <xf numFmtId="0" fontId="66" fillId="32" borderId="31" xfId="0" applyFont="1" applyFill="1" applyBorder="1" applyAlignment="1">
      <alignment horizontal="left"/>
    </xf>
    <xf numFmtId="0" fontId="66" fillId="31" borderId="30" xfId="0" applyFont="1" applyFill="1" applyBorder="1" applyAlignment="1">
      <alignment horizontal="left"/>
    </xf>
    <xf numFmtId="0" fontId="66" fillId="31" borderId="31" xfId="0" applyFont="1" applyFill="1" applyBorder="1" applyAlignment="1">
      <alignment horizontal="left"/>
    </xf>
    <xf numFmtId="0" fontId="69" fillId="27" borderId="0" xfId="0" applyFont="1" applyFill="1" applyBorder="1" applyAlignment="1">
      <alignment horizontal="left"/>
    </xf>
    <xf numFmtId="0" fontId="66" fillId="0" borderId="0" xfId="0" applyFont="1" applyAlignment="1" applyProtection="1">
      <alignment horizontal="left"/>
      <protection locked="0"/>
    </xf>
    <xf numFmtId="0" fontId="67" fillId="33" borderId="0" xfId="0" applyFont="1" applyFill="1" applyBorder="1" applyAlignment="1">
      <alignment horizontal="left"/>
    </xf>
    <xf numFmtId="0" fontId="67" fillId="27" borderId="36" xfId="0" applyFont="1" applyFill="1" applyBorder="1" applyAlignment="1">
      <alignment horizontal="left"/>
    </xf>
    <xf numFmtId="0" fontId="68" fillId="91" borderId="26" xfId="0" applyFont="1" applyFill="1" applyBorder="1" applyAlignment="1" applyProtection="1">
      <alignment horizontal="left"/>
      <protection locked="0"/>
    </xf>
    <xf numFmtId="0" fontId="68" fillId="91" borderId="27" xfId="0" applyNumberFormat="1" applyFont="1" applyFill="1" applyBorder="1" applyAlignment="1" applyProtection="1">
      <alignment horizontal="left"/>
      <protection locked="0"/>
    </xf>
    <xf numFmtId="0" fontId="68" fillId="91" borderId="27" xfId="0" applyFont="1" applyFill="1" applyBorder="1" applyAlignment="1" applyProtection="1">
      <alignment horizontal="left"/>
      <protection locked="0"/>
    </xf>
    <xf numFmtId="0" fontId="68" fillId="91" borderId="28" xfId="0" applyFont="1" applyFill="1" applyBorder="1" applyAlignment="1" applyProtection="1">
      <alignment horizontal="left"/>
      <protection locked="0"/>
    </xf>
    <xf numFmtId="49" fontId="66" fillId="0" borderId="0" xfId="0" applyNumberFormat="1" applyFont="1" applyFill="1" applyAlignment="1">
      <alignment horizontal="left"/>
    </xf>
    <xf numFmtId="0" fontId="35" fillId="35" borderId="37" xfId="0" applyFont="1" applyFill="1" applyBorder="1"/>
    <xf numFmtId="0" fontId="35" fillId="35" borderId="38" xfId="0" applyFont="1" applyFill="1" applyBorder="1"/>
    <xf numFmtId="0" fontId="36" fillId="25" borderId="16" xfId="0" applyFont="1" applyFill="1" applyBorder="1" applyAlignment="1">
      <alignment horizontal="center"/>
    </xf>
    <xf numFmtId="0" fontId="36" fillId="25" borderId="0" xfId="0" applyFont="1" applyFill="1" applyBorder="1" applyAlignment="1">
      <alignment horizontal="center"/>
    </xf>
    <xf numFmtId="0" fontId="36" fillId="25" borderId="17" xfId="0" applyFont="1" applyFill="1" applyBorder="1" applyAlignment="1">
      <alignment horizontal="center"/>
    </xf>
    <xf numFmtId="0" fontId="33" fillId="29" borderId="61" xfId="0" applyFont="1" applyFill="1" applyBorder="1" applyAlignment="1">
      <alignment horizontal="left" wrapText="1"/>
    </xf>
    <xf numFmtId="0" fontId="33" fillId="29" borderId="0" xfId="0" applyFont="1" applyFill="1" applyBorder="1" applyAlignment="1">
      <alignment horizontal="left" wrapText="1"/>
    </xf>
    <xf numFmtId="0" fontId="35" fillId="27" borderId="36" xfId="0" applyFont="1" applyFill="1" applyBorder="1" applyAlignment="1">
      <alignment horizontal="center"/>
    </xf>
    <xf numFmtId="0" fontId="35" fillId="27" borderId="28" xfId="0" applyFont="1" applyFill="1" applyBorder="1" applyAlignment="1">
      <alignment horizontal="center"/>
    </xf>
    <xf numFmtId="0" fontId="66" fillId="0" borderId="0" xfId="0" applyFont="1" applyAlignment="1">
      <alignment horizontal="left" vertical="top" wrapText="1"/>
    </xf>
    <xf numFmtId="0" fontId="67" fillId="33" borderId="31" xfId="0" applyFont="1" applyFill="1" applyBorder="1" applyAlignment="1">
      <alignment horizontal="left"/>
    </xf>
    <xf numFmtId="0" fontId="67" fillId="27" borderId="32" xfId="0" applyFont="1" applyFill="1" applyBorder="1" applyAlignment="1">
      <alignment horizontal="left"/>
    </xf>
    <xf numFmtId="0" fontId="67" fillId="27" borderId="33" xfId="0" applyFont="1" applyFill="1" applyBorder="1" applyAlignment="1">
      <alignment horizontal="left"/>
    </xf>
    <xf numFmtId="0" fontId="69" fillId="27" borderId="36" xfId="0" applyFont="1" applyFill="1" applyBorder="1" applyAlignment="1">
      <alignment horizontal="left"/>
    </xf>
    <xf numFmtId="0" fontId="69" fillId="27" borderId="28" xfId="0" applyFont="1" applyFill="1" applyBorder="1" applyAlignment="1">
      <alignment horizontal="left"/>
    </xf>
    <xf numFmtId="0" fontId="67" fillId="27" borderId="34" xfId="0" applyFont="1" applyFill="1" applyBorder="1" applyAlignment="1">
      <alignment horizontal="left"/>
    </xf>
    <xf numFmtId="0" fontId="67" fillId="27" borderId="30" xfId="0" applyFont="1" applyFill="1" applyBorder="1" applyAlignment="1">
      <alignment horizontal="left"/>
    </xf>
    <xf numFmtId="0" fontId="67" fillId="27" borderId="31" xfId="0" applyFont="1" applyFill="1" applyBorder="1" applyAlignment="1">
      <alignment horizontal="left"/>
    </xf>
    <xf numFmtId="0" fontId="67" fillId="27" borderId="39" xfId="0" applyFont="1" applyFill="1" applyBorder="1" applyAlignment="1">
      <alignment horizontal="left"/>
    </xf>
    <xf numFmtId="0" fontId="69" fillId="27" borderId="34" xfId="0" applyFont="1" applyFill="1" applyBorder="1" applyAlignment="1">
      <alignment horizontal="left"/>
    </xf>
    <xf numFmtId="0" fontId="69" fillId="27" borderId="33" xfId="0" applyFont="1" applyFill="1" applyBorder="1" applyAlignment="1">
      <alignment horizontal="left"/>
    </xf>
  </cellXfs>
  <cellStyles count="1629">
    <cellStyle name=" 1" xfId="1"/>
    <cellStyle name=" 1 2" xfId="2"/>
    <cellStyle name=" 1 2 2" xfId="217"/>
    <cellStyle name=" 1 2 3" xfId="218"/>
    <cellStyle name=" 1 3" xfId="3"/>
    <cellStyle name=" 1 3 2" xfId="219"/>
    <cellStyle name=" 1 3 3" xfId="220"/>
    <cellStyle name=" 1 4" xfId="4"/>
    <cellStyle name=" 1 4 2" xfId="221"/>
    <cellStyle name=" 1 4 3" xfId="222"/>
    <cellStyle name=" 1 5" xfId="5"/>
    <cellStyle name=" 1 5 2" xfId="223"/>
    <cellStyle name=" 1 5 3" xfId="224"/>
    <cellStyle name="_x000d__x000a_JournalTemplate=C:\COMFO\CTALK\JOURSTD.TPL_x000d__x000a_LbStateAddress=3 3 0 251 1 89 2 311_x000d__x000a_LbStateJou" xfId="1627"/>
    <cellStyle name="_Action Items" xfId="6"/>
    <cellStyle name="_Action Items 2" xfId="7"/>
    <cellStyle name="_Action Items 2 10" xfId="225"/>
    <cellStyle name="_Action Items 2 11" xfId="226"/>
    <cellStyle name="_Action Items 2 12" xfId="227"/>
    <cellStyle name="_Action Items 2 13" xfId="228"/>
    <cellStyle name="_Action Items 2 14" xfId="229"/>
    <cellStyle name="_Action Items 2 15" xfId="230"/>
    <cellStyle name="_Action Items 2 16" xfId="231"/>
    <cellStyle name="_Action Items 2 17" xfId="232"/>
    <cellStyle name="_Action Items 2 2" xfId="233"/>
    <cellStyle name="_Action Items 2 3" xfId="234"/>
    <cellStyle name="_Action Items 2 4" xfId="235"/>
    <cellStyle name="_Action Items 2 5" xfId="236"/>
    <cellStyle name="_Action Items 2 6" xfId="237"/>
    <cellStyle name="_Action Items 2 7" xfId="238"/>
    <cellStyle name="_Action Items 2 8" xfId="239"/>
    <cellStyle name="_Action Items 2 9" xfId="240"/>
    <cellStyle name="_Combined_SS" xfId="8"/>
    <cellStyle name="_Combined_SS 2" xfId="9"/>
    <cellStyle name="_Combined_SS 2 10" xfId="241"/>
    <cellStyle name="_Combined_SS 2 11" xfId="242"/>
    <cellStyle name="_Combined_SS 2 12" xfId="243"/>
    <cellStyle name="_Combined_SS 2 13" xfId="244"/>
    <cellStyle name="_Combined_SS 2 14" xfId="245"/>
    <cellStyle name="_Combined_SS 2 15" xfId="246"/>
    <cellStyle name="_Combined_SS 2 16" xfId="247"/>
    <cellStyle name="_Combined_SS 2 17" xfId="248"/>
    <cellStyle name="_Combined_SS 2 2" xfId="249"/>
    <cellStyle name="_Combined_SS 2 3" xfId="250"/>
    <cellStyle name="_Combined_SS 2 4" xfId="251"/>
    <cellStyle name="_Combined_SS 2 5" xfId="252"/>
    <cellStyle name="_Combined_SS 2 6" xfId="253"/>
    <cellStyle name="_Combined_SS 2 7" xfId="254"/>
    <cellStyle name="_Combined_SS 2 8" xfId="255"/>
    <cellStyle name="_Combined_SS 2 9" xfId="256"/>
    <cellStyle name="_Config Info" xfId="10"/>
    <cellStyle name="_Config Info 2" xfId="11"/>
    <cellStyle name="_Config Info 2 10" xfId="257"/>
    <cellStyle name="_Config Info 2 11" xfId="258"/>
    <cellStyle name="_Config Info 2 12" xfId="259"/>
    <cellStyle name="_Config Info 2 13" xfId="260"/>
    <cellStyle name="_Config Info 2 14" xfId="261"/>
    <cellStyle name="_Config Info 2 15" xfId="262"/>
    <cellStyle name="_Config Info 2 16" xfId="263"/>
    <cellStyle name="_Config Info 2 17" xfId="264"/>
    <cellStyle name="_Config Info 2 2" xfId="265"/>
    <cellStyle name="_Config Info 2 3" xfId="266"/>
    <cellStyle name="_Config Info 2 4" xfId="267"/>
    <cellStyle name="_Config Info 2 5" xfId="268"/>
    <cellStyle name="_Config Info 2 6" xfId="269"/>
    <cellStyle name="_Config Info 2 7" xfId="270"/>
    <cellStyle name="_Config Info 2 8" xfId="271"/>
    <cellStyle name="_Config Info 2 9" xfId="272"/>
    <cellStyle name="_Project Scope" xfId="12"/>
    <cellStyle name="_Project Scope 2" xfId="13"/>
    <cellStyle name="_Project Scope 2 10" xfId="273"/>
    <cellStyle name="_Project Scope 2 11" xfId="274"/>
    <cellStyle name="_Project Scope 2 12" xfId="275"/>
    <cellStyle name="_Project Scope 2 13" xfId="276"/>
    <cellStyle name="_Project Scope 2 14" xfId="277"/>
    <cellStyle name="_Project Scope 2 15" xfId="278"/>
    <cellStyle name="_Project Scope 2 16" xfId="279"/>
    <cellStyle name="_Project Scope 2 17" xfId="280"/>
    <cellStyle name="_Project Scope 2 2" xfId="281"/>
    <cellStyle name="_Project Scope 2 3" xfId="282"/>
    <cellStyle name="_Project Scope 2 4" xfId="283"/>
    <cellStyle name="_Project Scope 2 5" xfId="284"/>
    <cellStyle name="_Project Scope 2 6" xfId="285"/>
    <cellStyle name="_Project Scope 2 7" xfId="286"/>
    <cellStyle name="_Project Scope 2 8" xfId="287"/>
    <cellStyle name="_Project Scope 2 9" xfId="288"/>
    <cellStyle name="20% - Accent1 2" xfId="14"/>
    <cellStyle name="20% - Accent1 3" xfId="15"/>
    <cellStyle name="20% - Accent1 4" xfId="16"/>
    <cellStyle name="20% - Accent1 5" xfId="289"/>
    <cellStyle name="20% - Accent1 5 2" xfId="290"/>
    <cellStyle name="20% - Accent1 6" xfId="291"/>
    <cellStyle name="20% - Accent1 6 2" xfId="292"/>
    <cellStyle name="20% - Accent1 7" xfId="293"/>
    <cellStyle name="20% - Accent1 7 2" xfId="294"/>
    <cellStyle name="20% - Accent1 8" xfId="295"/>
    <cellStyle name="20% - Accent1 8 2" xfId="296"/>
    <cellStyle name="20% - Accent2 2" xfId="17"/>
    <cellStyle name="20% - Accent2 3" xfId="18"/>
    <cellStyle name="20% - Accent2 4" xfId="19"/>
    <cellStyle name="20% - Accent2 5" xfId="297"/>
    <cellStyle name="20% - Accent2 5 2" xfId="298"/>
    <cellStyle name="20% - Accent2 6" xfId="299"/>
    <cellStyle name="20% - Accent2 6 2" xfId="300"/>
    <cellStyle name="20% - Accent2 7" xfId="301"/>
    <cellStyle name="20% - Accent2 7 2" xfId="302"/>
    <cellStyle name="20% - Accent2 8" xfId="303"/>
    <cellStyle name="20% - Accent2 8 2" xfId="304"/>
    <cellStyle name="20% - Accent3 2" xfId="20"/>
    <cellStyle name="20% - Accent3 3" xfId="21"/>
    <cellStyle name="20% - Accent3 4" xfId="22"/>
    <cellStyle name="20% - Accent3 5" xfId="305"/>
    <cellStyle name="20% - Accent3 5 2" xfId="306"/>
    <cellStyle name="20% - Accent3 6" xfId="307"/>
    <cellStyle name="20% - Accent3 6 2" xfId="308"/>
    <cellStyle name="20% - Accent3 7" xfId="309"/>
    <cellStyle name="20% - Accent3 7 2" xfId="310"/>
    <cellStyle name="20% - Accent3 8" xfId="311"/>
    <cellStyle name="20% - Accent3 8 2" xfId="312"/>
    <cellStyle name="20% - Accent4 2" xfId="23"/>
    <cellStyle name="20% - Accent4 3" xfId="24"/>
    <cellStyle name="20% - Accent4 4" xfId="25"/>
    <cellStyle name="20% - Accent4 5" xfId="313"/>
    <cellStyle name="20% - Accent4 5 2" xfId="314"/>
    <cellStyle name="20% - Accent4 6" xfId="315"/>
    <cellStyle name="20% - Accent4 6 2" xfId="316"/>
    <cellStyle name="20% - Accent4 7" xfId="317"/>
    <cellStyle name="20% - Accent4 7 2" xfId="318"/>
    <cellStyle name="20% - Accent4 8" xfId="319"/>
    <cellStyle name="20% - Accent4 8 2" xfId="320"/>
    <cellStyle name="20% - Accent5 2" xfId="26"/>
    <cellStyle name="20% - Accent5 3" xfId="27"/>
    <cellStyle name="20% - Accent5 4" xfId="28"/>
    <cellStyle name="20% - Accent5 5" xfId="321"/>
    <cellStyle name="20% - Accent5 5 2" xfId="322"/>
    <cellStyle name="20% - Accent5 6" xfId="323"/>
    <cellStyle name="20% - Accent5 6 2" xfId="324"/>
    <cellStyle name="20% - Accent5 7" xfId="325"/>
    <cellStyle name="20% - Accent5 7 2" xfId="326"/>
    <cellStyle name="20% - Accent5 8" xfId="327"/>
    <cellStyle name="20% - Accent5 8 2" xfId="328"/>
    <cellStyle name="20% - Accent6 2" xfId="29"/>
    <cellStyle name="20% - Accent6 3" xfId="30"/>
    <cellStyle name="20% - Accent6 4" xfId="31"/>
    <cellStyle name="20% - Accent6 5" xfId="329"/>
    <cellStyle name="20% - Accent6 5 2" xfId="330"/>
    <cellStyle name="20% - Accent6 6" xfId="331"/>
    <cellStyle name="20% - Accent6 6 2" xfId="332"/>
    <cellStyle name="20% - Accent6 7" xfId="333"/>
    <cellStyle name="20% - Accent6 7 2" xfId="334"/>
    <cellStyle name="20% - Accent6 8" xfId="335"/>
    <cellStyle name="20% - Accent6 8 2" xfId="336"/>
    <cellStyle name="40% - Accent1 2" xfId="32"/>
    <cellStyle name="40% - Accent1 3" xfId="33"/>
    <cellStyle name="40% - Accent1 4" xfId="34"/>
    <cellStyle name="40% - Accent1 5" xfId="337"/>
    <cellStyle name="40% - Accent1 5 2" xfId="338"/>
    <cellStyle name="40% - Accent1 6" xfId="339"/>
    <cellStyle name="40% - Accent1 6 2" xfId="340"/>
    <cellStyle name="40% - Accent1 7" xfId="341"/>
    <cellStyle name="40% - Accent1 7 2" xfId="342"/>
    <cellStyle name="40% - Accent1 8" xfId="343"/>
    <cellStyle name="40% - Accent1 8 2" xfId="344"/>
    <cellStyle name="40% - Accent2 2" xfId="35"/>
    <cellStyle name="40% - Accent2 3" xfId="36"/>
    <cellStyle name="40% - Accent2 4" xfId="37"/>
    <cellStyle name="40% - Accent2 5" xfId="345"/>
    <cellStyle name="40% - Accent2 5 2" xfId="346"/>
    <cellStyle name="40% - Accent2 6" xfId="347"/>
    <cellStyle name="40% - Accent2 6 2" xfId="348"/>
    <cellStyle name="40% - Accent2 7" xfId="349"/>
    <cellStyle name="40% - Accent2 7 2" xfId="350"/>
    <cellStyle name="40% - Accent2 8" xfId="351"/>
    <cellStyle name="40% - Accent2 8 2" xfId="352"/>
    <cellStyle name="40% - Accent3 2" xfId="38"/>
    <cellStyle name="40% - Accent3 3" xfId="39"/>
    <cellStyle name="40% - Accent3 4" xfId="40"/>
    <cellStyle name="40% - Accent3 5" xfId="353"/>
    <cellStyle name="40% - Accent3 5 2" xfId="354"/>
    <cellStyle name="40% - Accent3 6" xfId="355"/>
    <cellStyle name="40% - Accent3 6 2" xfId="356"/>
    <cellStyle name="40% - Accent3 7" xfId="357"/>
    <cellStyle name="40% - Accent3 7 2" xfId="358"/>
    <cellStyle name="40% - Accent3 8" xfId="359"/>
    <cellStyle name="40% - Accent3 8 2" xfId="360"/>
    <cellStyle name="40% - Accent6 2" xfId="41"/>
    <cellStyle name="40% - Accent6 3" xfId="42"/>
    <cellStyle name="40% - Accent6 4" xfId="43"/>
    <cellStyle name="40% - Accent6 5" xfId="361"/>
    <cellStyle name="40% - Accent6 5 2" xfId="362"/>
    <cellStyle name="40% - Accent6 6" xfId="363"/>
    <cellStyle name="40% - Accent6 6 2" xfId="364"/>
    <cellStyle name="40% - Accent6 7" xfId="365"/>
    <cellStyle name="40% - Accent6 7 2" xfId="366"/>
    <cellStyle name="40% - Accent6 8" xfId="367"/>
    <cellStyle name="40% - Accent6 8 2" xfId="368"/>
    <cellStyle name="60% - Accent1 2" xfId="44"/>
    <cellStyle name="60% - Accent1 3" xfId="45"/>
    <cellStyle name="60% - Accent1 4" xfId="46"/>
    <cellStyle name="60% - Accent1 5" xfId="369"/>
    <cellStyle name="60% - Accent1 6" xfId="370"/>
    <cellStyle name="60% - Accent1 7" xfId="371"/>
    <cellStyle name="60% - Accent1 8" xfId="372"/>
    <cellStyle name="60% - Accent2 2" xfId="47"/>
    <cellStyle name="60% - Accent2 3" xfId="48"/>
    <cellStyle name="60% - Accent2 4" xfId="49"/>
    <cellStyle name="60% - Accent2 5" xfId="373"/>
    <cellStyle name="60% - Accent2 6" xfId="374"/>
    <cellStyle name="60% - Accent2 7" xfId="375"/>
    <cellStyle name="60% - Accent2 8" xfId="376"/>
    <cellStyle name="60% - Accent3 2" xfId="50"/>
    <cellStyle name="60% - Accent3 3" xfId="51"/>
    <cellStyle name="60% - Accent3 4" xfId="52"/>
    <cellStyle name="60% - Accent3 5" xfId="377"/>
    <cellStyle name="60% - Accent3 6" xfId="378"/>
    <cellStyle name="60% - Accent3 7" xfId="379"/>
    <cellStyle name="60% - Accent3 8" xfId="380"/>
    <cellStyle name="60% - Accent4 2" xfId="53"/>
    <cellStyle name="60% - Accent4 3" xfId="54"/>
    <cellStyle name="60% - Accent4 4" xfId="55"/>
    <cellStyle name="60% - Accent4 5" xfId="381"/>
    <cellStyle name="60% - Accent4 6" xfId="382"/>
    <cellStyle name="60% - Accent4 7" xfId="383"/>
    <cellStyle name="60% - Accent4 8" xfId="384"/>
    <cellStyle name="60% - Accent5 2" xfId="56"/>
    <cellStyle name="60% - Accent5 3" xfId="57"/>
    <cellStyle name="60% - Accent5 4" xfId="58"/>
    <cellStyle name="60% - Accent5 5" xfId="385"/>
    <cellStyle name="60% - Accent5 6" xfId="386"/>
    <cellStyle name="60% - Accent5 7" xfId="387"/>
    <cellStyle name="60% - Accent5 8" xfId="388"/>
    <cellStyle name="60% - Accent6 2" xfId="59"/>
    <cellStyle name="60% - Accent6 3" xfId="60"/>
    <cellStyle name="60% - Accent6 4" xfId="61"/>
    <cellStyle name="60% - Accent6 5" xfId="389"/>
    <cellStyle name="60% - Accent6 6" xfId="390"/>
    <cellStyle name="60% - Accent6 7" xfId="391"/>
    <cellStyle name="60% - Accent6 8" xfId="392"/>
    <cellStyle name="Accent1 - 20%" xfId="393"/>
    <cellStyle name="Accent1 - 40%" xfId="394"/>
    <cellStyle name="Accent1 - 60%" xfId="395"/>
    <cellStyle name="Accent1 2" xfId="62"/>
    <cellStyle name="Accent1 2 2" xfId="396"/>
    <cellStyle name="Accent1 3" xfId="63"/>
    <cellStyle name="Accent1 4" xfId="64"/>
    <cellStyle name="Accent1 5" xfId="397"/>
    <cellStyle name="Accent1 6" xfId="398"/>
    <cellStyle name="Accent1 7" xfId="399"/>
    <cellStyle name="Accent1 8" xfId="400"/>
    <cellStyle name="Accent1 9" xfId="401"/>
    <cellStyle name="Accent2 - 20%" xfId="402"/>
    <cellStyle name="Accent2 - 40%" xfId="403"/>
    <cellStyle name="Accent2 - 60%" xfId="404"/>
    <cellStyle name="Accent2 2" xfId="65"/>
    <cellStyle name="Accent2 2 2" xfId="405"/>
    <cellStyle name="Accent2 3" xfId="66"/>
    <cellStyle name="Accent2 4" xfId="67"/>
    <cellStyle name="Accent2 5" xfId="406"/>
    <cellStyle name="Accent2 6" xfId="407"/>
    <cellStyle name="Accent2 7" xfId="408"/>
    <cellStyle name="Accent2 8" xfId="409"/>
    <cellStyle name="Accent2 9" xfId="410"/>
    <cellStyle name="Accent3 - 20%" xfId="411"/>
    <cellStyle name="Accent3 - 40%" xfId="412"/>
    <cellStyle name="Accent3 - 60%" xfId="413"/>
    <cellStyle name="Accent3 2" xfId="68"/>
    <cellStyle name="Accent3 2 2" xfId="414"/>
    <cellStyle name="Accent3 3" xfId="69"/>
    <cellStyle name="Accent3 4" xfId="70"/>
    <cellStyle name="Accent3 5" xfId="415"/>
    <cellStyle name="Accent3 6" xfId="416"/>
    <cellStyle name="Accent3 7" xfId="417"/>
    <cellStyle name="Accent3 8" xfId="418"/>
    <cellStyle name="Accent3 9" xfId="419"/>
    <cellStyle name="Accent4 - 20%" xfId="420"/>
    <cellStyle name="Accent4 - 40%" xfId="421"/>
    <cellStyle name="Accent4 - 60%" xfId="422"/>
    <cellStyle name="Accent4 2" xfId="423"/>
    <cellStyle name="Accent4 3" xfId="424"/>
    <cellStyle name="Accent5 - 20%" xfId="425"/>
    <cellStyle name="Accent5 - 40%" xfId="426"/>
    <cellStyle name="Accent5 - 60%" xfId="427"/>
    <cellStyle name="Accent5 2" xfId="428"/>
    <cellStyle name="Accent5 3" xfId="429"/>
    <cellStyle name="Accent6 - 20%" xfId="430"/>
    <cellStyle name="Accent6 - 40%" xfId="431"/>
    <cellStyle name="Accent6 - 60%" xfId="432"/>
    <cellStyle name="Accent6 2" xfId="71"/>
    <cellStyle name="Accent6 2 2" xfId="433"/>
    <cellStyle name="Accent6 3" xfId="72"/>
    <cellStyle name="Accent6 4" xfId="73"/>
    <cellStyle name="Accent6 5" xfId="434"/>
    <cellStyle name="Accent6 6" xfId="435"/>
    <cellStyle name="Accent6 7" xfId="436"/>
    <cellStyle name="Accent6 8" xfId="437"/>
    <cellStyle name="Accent6 9" xfId="438"/>
    <cellStyle name="Bad 2" xfId="74"/>
    <cellStyle name="Bad 2 2" xfId="439"/>
    <cellStyle name="Bad 3" xfId="75"/>
    <cellStyle name="Bad 4" xfId="76"/>
    <cellStyle name="Bad 5" xfId="440"/>
    <cellStyle name="Bad 6" xfId="441"/>
    <cellStyle name="Bad 7" xfId="442"/>
    <cellStyle name="Bad 8" xfId="443"/>
    <cellStyle name="Bad 9" xfId="444"/>
    <cellStyle name="Calculation 2" xfId="77"/>
    <cellStyle name="Calculation 2 2" xfId="445"/>
    <cellStyle name="Calculation 2 2 2" xfId="446"/>
    <cellStyle name="Calculation 2 3" xfId="447"/>
    <cellStyle name="Calculation 3" xfId="78"/>
    <cellStyle name="Calculation 3 2" xfId="448"/>
    <cellStyle name="Calculation 4" xfId="79"/>
    <cellStyle name="Calculation 4 2" xfId="449"/>
    <cellStyle name="Calculation 5" xfId="450"/>
    <cellStyle name="Calculation 5 2" xfId="451"/>
    <cellStyle name="Calculation 6" xfId="452"/>
    <cellStyle name="Calculation 7" xfId="453"/>
    <cellStyle name="Calculation 8" xfId="454"/>
    <cellStyle name="Calculation 9" xfId="455"/>
    <cellStyle name="category" xfId="80"/>
    <cellStyle name="Check Cell 2" xfId="81"/>
    <cellStyle name="Check Cell 2 2" xfId="456"/>
    <cellStyle name="Check Cell 3" xfId="82"/>
    <cellStyle name="Check Cell 4" xfId="83"/>
    <cellStyle name="Check Cell 5" xfId="457"/>
    <cellStyle name="Check Cell 6" xfId="458"/>
    <cellStyle name="Check Cell 7" xfId="459"/>
    <cellStyle name="Check Cell 8" xfId="460"/>
    <cellStyle name="Check Cell 9" xfId="461"/>
    <cellStyle name="Currency 2" xfId="84"/>
    <cellStyle name="Currency 2 10" xfId="462"/>
    <cellStyle name="Currency 2 11" xfId="463"/>
    <cellStyle name="Currency 2 12" xfId="464"/>
    <cellStyle name="Currency 2 13" xfId="465"/>
    <cellStyle name="Currency 2 14" xfId="466"/>
    <cellStyle name="Currency 2 15" xfId="467"/>
    <cellStyle name="Currency 2 16" xfId="468"/>
    <cellStyle name="Currency 2 17" xfId="469"/>
    <cellStyle name="Currency 2 2" xfId="470"/>
    <cellStyle name="Currency 2 3" xfId="471"/>
    <cellStyle name="Currency 2 4" xfId="472"/>
    <cellStyle name="Currency 2 5" xfId="473"/>
    <cellStyle name="Currency 2 6" xfId="474"/>
    <cellStyle name="Currency 2 7" xfId="475"/>
    <cellStyle name="Currency 2 8" xfId="476"/>
    <cellStyle name="Currency 2 9" xfId="477"/>
    <cellStyle name="Emphasis 1" xfId="478"/>
    <cellStyle name="Emphasis 2" xfId="479"/>
    <cellStyle name="Emphasis 3" xfId="480"/>
    <cellStyle name="Explanatory Text 2" xfId="85"/>
    <cellStyle name="Explanatory Text 3" xfId="86"/>
    <cellStyle name="Explanatory Text 4" xfId="87"/>
    <cellStyle name="Explanatory Text 5" xfId="481"/>
    <cellStyle name="Explanatory Text 6" xfId="482"/>
    <cellStyle name="Explanatory Text 7" xfId="483"/>
    <cellStyle name="Explanatory Text 8" xfId="484"/>
    <cellStyle name="Good 2" xfId="88"/>
    <cellStyle name="Good 2 2" xfId="485"/>
    <cellStyle name="Good 3" xfId="89"/>
    <cellStyle name="Good 4" xfId="90"/>
    <cellStyle name="Good 5" xfId="486"/>
    <cellStyle name="Good 6" xfId="487"/>
    <cellStyle name="Good 7" xfId="488"/>
    <cellStyle name="Good 8" xfId="489"/>
    <cellStyle name="Good 9" xfId="490"/>
    <cellStyle name="Grey" xfId="91"/>
    <cellStyle name="Grey 10" xfId="491"/>
    <cellStyle name="Grey 11" xfId="492"/>
    <cellStyle name="Grey 12" xfId="493"/>
    <cellStyle name="Grey 13" xfId="494"/>
    <cellStyle name="Grey 14" xfId="495"/>
    <cellStyle name="Grey 15" xfId="496"/>
    <cellStyle name="Grey 16" xfId="497"/>
    <cellStyle name="Grey 17" xfId="498"/>
    <cellStyle name="Grey 18" xfId="499"/>
    <cellStyle name="Grey 19" xfId="500"/>
    <cellStyle name="Grey 2" xfId="92"/>
    <cellStyle name="Grey 20" xfId="501"/>
    <cellStyle name="Grey 21" xfId="502"/>
    <cellStyle name="Grey 22" xfId="503"/>
    <cellStyle name="Grey 23" xfId="504"/>
    <cellStyle name="Grey 24" xfId="505"/>
    <cellStyle name="Grey 25" xfId="506"/>
    <cellStyle name="Grey 26" xfId="507"/>
    <cellStyle name="Grey 27" xfId="508"/>
    <cellStyle name="Grey 28" xfId="509"/>
    <cellStyle name="Grey 29" xfId="510"/>
    <cellStyle name="Grey 3" xfId="93"/>
    <cellStyle name="Grey 30" xfId="511"/>
    <cellStyle name="Grey 4" xfId="94"/>
    <cellStyle name="Grey 5" xfId="95"/>
    <cellStyle name="Grey 6" xfId="96"/>
    <cellStyle name="Grey 6 10" xfId="512"/>
    <cellStyle name="Grey 6 11" xfId="513"/>
    <cellStyle name="Grey 6 12" xfId="514"/>
    <cellStyle name="Grey 6 13" xfId="515"/>
    <cellStyle name="Grey 6 14" xfId="516"/>
    <cellStyle name="Grey 6 15" xfId="517"/>
    <cellStyle name="Grey 6 16" xfId="518"/>
    <cellStyle name="Grey 6 17" xfId="519"/>
    <cellStyle name="Grey 6 2" xfId="520"/>
    <cellStyle name="Grey 6 3" xfId="521"/>
    <cellStyle name="Grey 6 4" xfId="522"/>
    <cellStyle name="Grey 6 5" xfId="523"/>
    <cellStyle name="Grey 6 6" xfId="524"/>
    <cellStyle name="Grey 6 7" xfId="525"/>
    <cellStyle name="Grey 6 8" xfId="526"/>
    <cellStyle name="Grey 6 9" xfId="527"/>
    <cellStyle name="Grey 7" xfId="528"/>
    <cellStyle name="Grey 8" xfId="529"/>
    <cellStyle name="Grey 9" xfId="530"/>
    <cellStyle name="Grey_New VM - Sizing (Ex1b)" xfId="97"/>
    <cellStyle name="HEADER" xfId="98"/>
    <cellStyle name="Heading 1 2" xfId="99"/>
    <cellStyle name="Heading 1 2 2" xfId="531"/>
    <cellStyle name="Heading 1 3" xfId="100"/>
    <cellStyle name="Heading 1 4" xfId="101"/>
    <cellStyle name="Heading 1 5" xfId="532"/>
    <cellStyle name="Heading 1 6" xfId="533"/>
    <cellStyle name="Heading 1 7" xfId="534"/>
    <cellStyle name="Heading 1 8" xfId="535"/>
    <cellStyle name="Heading 1 9" xfId="536"/>
    <cellStyle name="Heading 2 2" xfId="102"/>
    <cellStyle name="Heading 2 2 2" xfId="537"/>
    <cellStyle name="Heading 2 3" xfId="103"/>
    <cellStyle name="Heading 2 4" xfId="104"/>
    <cellStyle name="Heading 2 5" xfId="538"/>
    <cellStyle name="Heading 2 6" xfId="539"/>
    <cellStyle name="Heading 2 7" xfId="540"/>
    <cellStyle name="Heading 2 8" xfId="541"/>
    <cellStyle name="Heading 2 9" xfId="542"/>
    <cellStyle name="Heading 3 2" xfId="105"/>
    <cellStyle name="Heading 3 2 2" xfId="543"/>
    <cellStyle name="Heading 3 3" xfId="106"/>
    <cellStyle name="Heading 3 4" xfId="107"/>
    <cellStyle name="Heading 3 5" xfId="544"/>
    <cellStyle name="Heading 3 6" xfId="545"/>
    <cellStyle name="Heading 3 7" xfId="546"/>
    <cellStyle name="Heading 3 8" xfId="547"/>
    <cellStyle name="Heading 3 9" xfId="548"/>
    <cellStyle name="Heading 4 2" xfId="108"/>
    <cellStyle name="Heading 4 2 2" xfId="549"/>
    <cellStyle name="Heading 4 3" xfId="109"/>
    <cellStyle name="Heading 4 4" xfId="110"/>
    <cellStyle name="Heading 4 5" xfId="550"/>
    <cellStyle name="Heading 4 6" xfId="551"/>
    <cellStyle name="Heading 4 7" xfId="552"/>
    <cellStyle name="Heading 4 8" xfId="553"/>
    <cellStyle name="Heading 4 9" xfId="554"/>
    <cellStyle name="Hyperlink 2" xfId="111"/>
    <cellStyle name="Hyperlink 3" xfId="112"/>
    <cellStyle name="Hyperlink 3 2" xfId="555"/>
    <cellStyle name="Hyperlink 4 2" xfId="556"/>
    <cellStyle name="Input [yellow]" xfId="113"/>
    <cellStyle name="Input [yellow] 10" xfId="557"/>
    <cellStyle name="Input [yellow] 11" xfId="558"/>
    <cellStyle name="Input [yellow] 12" xfId="559"/>
    <cellStyle name="Input [yellow] 13" xfId="560"/>
    <cellStyle name="Input [yellow] 14" xfId="561"/>
    <cellStyle name="Input [yellow] 15" xfId="562"/>
    <cellStyle name="Input [yellow] 16" xfId="563"/>
    <cellStyle name="Input [yellow] 17" xfId="564"/>
    <cellStyle name="Input [yellow] 18" xfId="565"/>
    <cellStyle name="Input [yellow] 19" xfId="566"/>
    <cellStyle name="Input [yellow] 2" xfId="114"/>
    <cellStyle name="Input [yellow] 20" xfId="567"/>
    <cellStyle name="Input [yellow] 21" xfId="568"/>
    <cellStyle name="Input [yellow] 22" xfId="569"/>
    <cellStyle name="Input [yellow] 23" xfId="570"/>
    <cellStyle name="Input [yellow] 24" xfId="571"/>
    <cellStyle name="Input [yellow] 25" xfId="572"/>
    <cellStyle name="Input [yellow] 26" xfId="573"/>
    <cellStyle name="Input [yellow] 27" xfId="574"/>
    <cellStyle name="Input [yellow] 28" xfId="575"/>
    <cellStyle name="Input [yellow] 29" xfId="576"/>
    <cellStyle name="Input [yellow] 3" xfId="115"/>
    <cellStyle name="Input [yellow] 30" xfId="577"/>
    <cellStyle name="Input [yellow] 4" xfId="116"/>
    <cellStyle name="Input [yellow] 5" xfId="117"/>
    <cellStyle name="Input [yellow] 6" xfId="118"/>
    <cellStyle name="Input [yellow] 6 10" xfId="578"/>
    <cellStyle name="Input [yellow] 6 11" xfId="579"/>
    <cellStyle name="Input [yellow] 6 12" xfId="580"/>
    <cellStyle name="Input [yellow] 6 13" xfId="581"/>
    <cellStyle name="Input [yellow] 6 14" xfId="582"/>
    <cellStyle name="Input [yellow] 6 15" xfId="583"/>
    <cellStyle name="Input [yellow] 6 16" xfId="584"/>
    <cellStyle name="Input [yellow] 6 17" xfId="585"/>
    <cellStyle name="Input [yellow] 6 2" xfId="586"/>
    <cellStyle name="Input [yellow] 6 3" xfId="587"/>
    <cellStyle name="Input [yellow] 6 4" xfId="588"/>
    <cellStyle name="Input [yellow] 6 5" xfId="589"/>
    <cellStyle name="Input [yellow] 6 6" xfId="590"/>
    <cellStyle name="Input [yellow] 6 7" xfId="591"/>
    <cellStyle name="Input [yellow] 6 8" xfId="592"/>
    <cellStyle name="Input [yellow] 6 9" xfId="593"/>
    <cellStyle name="Input [yellow] 7" xfId="594"/>
    <cellStyle name="Input [yellow] 8" xfId="595"/>
    <cellStyle name="Input [yellow] 9" xfId="596"/>
    <cellStyle name="Input [yellow]_New VM - Sizing (Ex1b)" xfId="119"/>
    <cellStyle name="Input 2" xfId="120"/>
    <cellStyle name="Input 2 2" xfId="597"/>
    <cellStyle name="Input 2 2 2" xfId="598"/>
    <cellStyle name="Input 2 3" xfId="599"/>
    <cellStyle name="Input 3" xfId="121"/>
    <cellStyle name="Input 3 2" xfId="600"/>
    <cellStyle name="Input 4" xfId="122"/>
    <cellStyle name="Input 4 2" xfId="601"/>
    <cellStyle name="Input 5" xfId="602"/>
    <cellStyle name="Input 5 2" xfId="603"/>
    <cellStyle name="Input 6" xfId="604"/>
    <cellStyle name="Input 7" xfId="605"/>
    <cellStyle name="Input 8" xfId="606"/>
    <cellStyle name="Input 9" xfId="607"/>
    <cellStyle name="Linked Cell 2" xfId="123"/>
    <cellStyle name="Linked Cell 2 2" xfId="608"/>
    <cellStyle name="Linked Cell 3" xfId="124"/>
    <cellStyle name="Linked Cell 4" xfId="125"/>
    <cellStyle name="Linked Cell 5" xfId="609"/>
    <cellStyle name="Linked Cell 6" xfId="610"/>
    <cellStyle name="Linked Cell 7" xfId="611"/>
    <cellStyle name="Linked Cell 8" xfId="612"/>
    <cellStyle name="Linked Cell 9" xfId="613"/>
    <cellStyle name="Main_Heading" xfId="126"/>
    <cellStyle name="Millares [0]_pldt" xfId="127"/>
    <cellStyle name="Millares_pldt" xfId="128"/>
    <cellStyle name="Milliers [0]_EDYAN" xfId="129"/>
    <cellStyle name="Milliers_EDYAN" xfId="130"/>
    <cellStyle name="Model" xfId="131"/>
    <cellStyle name="Moneda [0]_pldt" xfId="132"/>
    <cellStyle name="Moneda_pldt" xfId="133"/>
    <cellStyle name="Monétaire [0]_EDYAN" xfId="134"/>
    <cellStyle name="Monétaire_EDYAN" xfId="135"/>
    <cellStyle name="Neutral 2" xfId="136"/>
    <cellStyle name="Neutral 2 2" xfId="614"/>
    <cellStyle name="Neutral 3" xfId="137"/>
    <cellStyle name="Neutral 4" xfId="138"/>
    <cellStyle name="Neutral 5" xfId="615"/>
    <cellStyle name="Neutral 6" xfId="616"/>
    <cellStyle name="Neutral 7" xfId="617"/>
    <cellStyle name="Neutral 8" xfId="618"/>
    <cellStyle name="Neutral 9" xfId="619"/>
    <cellStyle name="Norm੎੎" xfId="139"/>
    <cellStyle name="Norm੎੎ 10" xfId="620"/>
    <cellStyle name="Norm੎੎ 11" xfId="621"/>
    <cellStyle name="Norm੎੎ 12" xfId="622"/>
    <cellStyle name="Norm੎੎ 13" xfId="623"/>
    <cellStyle name="Norm੎੎ 14" xfId="624"/>
    <cellStyle name="Norm੎੎ 15" xfId="625"/>
    <cellStyle name="Norm੎੎ 16" xfId="626"/>
    <cellStyle name="Norm੎੎ 17" xfId="627"/>
    <cellStyle name="Norm੎੎ 2" xfId="628"/>
    <cellStyle name="Norm੎੎ 2 2" xfId="629"/>
    <cellStyle name="Norm੎੎ 3" xfId="630"/>
    <cellStyle name="Norm੎੎ 3 2" xfId="631"/>
    <cellStyle name="Norm੎੎ 3 3" xfId="632"/>
    <cellStyle name="Norm੎੎ 4" xfId="633"/>
    <cellStyle name="Norm੎੎ 5" xfId="634"/>
    <cellStyle name="Norm੎੎ 6" xfId="635"/>
    <cellStyle name="Norm੎੎ 7" xfId="636"/>
    <cellStyle name="Norm੎੎ 8" xfId="637"/>
    <cellStyle name="Norm੎੎ 9" xfId="638"/>
    <cellStyle name="Normal" xfId="0" builtinId="0"/>
    <cellStyle name="Normal - Style1" xfId="140"/>
    <cellStyle name="Normal 10" xfId="216"/>
    <cellStyle name="Normal 10 10" xfId="639"/>
    <cellStyle name="Normal 10 10 2" xfId="640"/>
    <cellStyle name="Normal 10 11" xfId="641"/>
    <cellStyle name="Normal 10 11 2" xfId="642"/>
    <cellStyle name="Normal 10 12" xfId="643"/>
    <cellStyle name="Normal 10 12 2" xfId="644"/>
    <cellStyle name="Normal 10 13" xfId="645"/>
    <cellStyle name="Normal 10 2" xfId="646"/>
    <cellStyle name="Normal 10 2 2" xfId="647"/>
    <cellStyle name="Normal 10 2 2 2" xfId="648"/>
    <cellStyle name="Normal 10 2 3" xfId="649"/>
    <cellStyle name="Normal 10 2 3 2" xfId="650"/>
    <cellStyle name="Normal 10 2 4" xfId="651"/>
    <cellStyle name="Normal 10 2 4 2" xfId="652"/>
    <cellStyle name="Normal 10 2 5" xfId="653"/>
    <cellStyle name="Normal 10 2 5 2" xfId="654"/>
    <cellStyle name="Normal 10 2 6" xfId="655"/>
    <cellStyle name="Normal 10 2 6 2" xfId="656"/>
    <cellStyle name="Normal 10 2 7" xfId="657"/>
    <cellStyle name="Normal 10 2 7 2" xfId="658"/>
    <cellStyle name="Normal 10 2 8" xfId="659"/>
    <cellStyle name="Normal 10 3" xfId="660"/>
    <cellStyle name="Normal 10 3 2" xfId="661"/>
    <cellStyle name="Normal 10 3 2 2" xfId="662"/>
    <cellStyle name="Normal 10 3 3" xfId="663"/>
    <cellStyle name="Normal 10 3 3 2" xfId="664"/>
    <cellStyle name="Normal 10 3 4" xfId="665"/>
    <cellStyle name="Normal 10 3 4 2" xfId="666"/>
    <cellStyle name="Normal 10 3 5" xfId="667"/>
    <cellStyle name="Normal 10 3 5 2" xfId="668"/>
    <cellStyle name="Normal 10 3 6" xfId="669"/>
    <cellStyle name="Normal 10 3 6 2" xfId="670"/>
    <cellStyle name="Normal 10 3 7" xfId="671"/>
    <cellStyle name="Normal 10 3 7 2" xfId="672"/>
    <cellStyle name="Normal 10 3 8" xfId="673"/>
    <cellStyle name="Normal 10 4" xfId="674"/>
    <cellStyle name="Normal 10 4 2" xfId="675"/>
    <cellStyle name="Normal 10 4 2 2" xfId="676"/>
    <cellStyle name="Normal 10 4 3" xfId="677"/>
    <cellStyle name="Normal 10 4 3 2" xfId="678"/>
    <cellStyle name="Normal 10 4 4" xfId="679"/>
    <cellStyle name="Normal 10 4 4 2" xfId="680"/>
    <cellStyle name="Normal 10 4 5" xfId="681"/>
    <cellStyle name="Normal 10 4 5 2" xfId="682"/>
    <cellStyle name="Normal 10 4 6" xfId="683"/>
    <cellStyle name="Normal 10 4 6 2" xfId="684"/>
    <cellStyle name="Normal 10 4 7" xfId="685"/>
    <cellStyle name="Normal 10 4 7 2" xfId="686"/>
    <cellStyle name="Normal 10 4 8" xfId="687"/>
    <cellStyle name="Normal 10 5" xfId="688"/>
    <cellStyle name="Normal 10 5 2" xfId="689"/>
    <cellStyle name="Normal 10 5 2 2" xfId="690"/>
    <cellStyle name="Normal 10 5 3" xfId="691"/>
    <cellStyle name="Normal 10 5 3 2" xfId="692"/>
    <cellStyle name="Normal 10 5 4" xfId="693"/>
    <cellStyle name="Normal 10 5 4 2" xfId="694"/>
    <cellStyle name="Normal 10 5 5" xfId="695"/>
    <cellStyle name="Normal 10 5 5 2" xfId="696"/>
    <cellStyle name="Normal 10 5 6" xfId="697"/>
    <cellStyle name="Normal 10 5 6 2" xfId="698"/>
    <cellStyle name="Normal 10 5 7" xfId="699"/>
    <cellStyle name="Normal 10 5 7 2" xfId="700"/>
    <cellStyle name="Normal 10 5 8" xfId="701"/>
    <cellStyle name="Normal 10 6" xfId="702"/>
    <cellStyle name="Normal 10 7" xfId="703"/>
    <cellStyle name="Normal 10 7 2" xfId="704"/>
    <cellStyle name="Normal 10 8" xfId="705"/>
    <cellStyle name="Normal 10 8 2" xfId="706"/>
    <cellStyle name="Normal 10 9" xfId="707"/>
    <cellStyle name="Normal 10 9 2" xfId="708"/>
    <cellStyle name="Normal 11" xfId="709"/>
    <cellStyle name="Normal 11 2" xfId="710"/>
    <cellStyle name="Normal 11 3" xfId="711"/>
    <cellStyle name="Normal 11 4" xfId="712"/>
    <cellStyle name="Normal 11 5" xfId="713"/>
    <cellStyle name="Normal 11 6" xfId="714"/>
    <cellStyle name="Normal 11 7" xfId="715"/>
    <cellStyle name="Normal 12" xfId="716"/>
    <cellStyle name="Normal 12 2" xfId="717"/>
    <cellStyle name="Normal 13" xfId="718"/>
    <cellStyle name="Normal 13 2" xfId="719"/>
    <cellStyle name="Normal 14" xfId="720"/>
    <cellStyle name="Normal 15" xfId="721"/>
    <cellStyle name="Normal 15 10" xfId="722"/>
    <cellStyle name="Normal 15 2" xfId="723"/>
    <cellStyle name="Normal 15 2 2" xfId="724"/>
    <cellStyle name="Normal 15 2 2 2" xfId="725"/>
    <cellStyle name="Normal 15 2 3" xfId="726"/>
    <cellStyle name="Normal 15 2 3 2" xfId="727"/>
    <cellStyle name="Normal 15 2 4" xfId="728"/>
    <cellStyle name="Normal 15 2 4 2" xfId="729"/>
    <cellStyle name="Normal 15 2 5" xfId="730"/>
    <cellStyle name="Normal 15 2 5 2" xfId="731"/>
    <cellStyle name="Normal 15 2 6" xfId="732"/>
    <cellStyle name="Normal 15 2 6 2" xfId="733"/>
    <cellStyle name="Normal 15 2 7" xfId="734"/>
    <cellStyle name="Normal 15 2 7 2" xfId="735"/>
    <cellStyle name="Normal 15 2 8" xfId="736"/>
    <cellStyle name="Normal 15 3" xfId="737"/>
    <cellStyle name="Normal 15 3 2" xfId="738"/>
    <cellStyle name="Normal 15 3 2 2" xfId="739"/>
    <cellStyle name="Normal 15 3 3" xfId="740"/>
    <cellStyle name="Normal 15 3 3 2" xfId="741"/>
    <cellStyle name="Normal 15 3 4" xfId="742"/>
    <cellStyle name="Normal 15 3 4 2" xfId="743"/>
    <cellStyle name="Normal 15 3 5" xfId="744"/>
    <cellStyle name="Normal 15 3 5 2" xfId="745"/>
    <cellStyle name="Normal 15 3 6" xfId="746"/>
    <cellStyle name="Normal 15 3 6 2" xfId="747"/>
    <cellStyle name="Normal 15 3 7" xfId="748"/>
    <cellStyle name="Normal 15 3 7 2" xfId="749"/>
    <cellStyle name="Normal 15 3 8" xfId="750"/>
    <cellStyle name="Normal 15 4" xfId="751"/>
    <cellStyle name="Normal 15 4 2" xfId="752"/>
    <cellStyle name="Normal 15 5" xfId="753"/>
    <cellStyle name="Normal 15 5 2" xfId="754"/>
    <cellStyle name="Normal 15 6" xfId="755"/>
    <cellStyle name="Normal 15 6 2" xfId="756"/>
    <cellStyle name="Normal 15 7" xfId="757"/>
    <cellStyle name="Normal 15 7 2" xfId="758"/>
    <cellStyle name="Normal 15 8" xfId="759"/>
    <cellStyle name="Normal 15 8 2" xfId="760"/>
    <cellStyle name="Normal 15 9" xfId="761"/>
    <cellStyle name="Normal 15 9 2" xfId="762"/>
    <cellStyle name="Normal 16" xfId="763"/>
    <cellStyle name="Normal 16 10" xfId="764"/>
    <cellStyle name="Normal 16 2" xfId="765"/>
    <cellStyle name="Normal 16 2 2" xfId="766"/>
    <cellStyle name="Normal 16 2 2 2" xfId="767"/>
    <cellStyle name="Normal 16 2 3" xfId="768"/>
    <cellStyle name="Normal 16 2 3 2" xfId="769"/>
    <cellStyle name="Normal 16 2 4" xfId="770"/>
    <cellStyle name="Normal 16 2 4 2" xfId="771"/>
    <cellStyle name="Normal 16 2 5" xfId="772"/>
    <cellStyle name="Normal 16 2 5 2" xfId="773"/>
    <cellStyle name="Normal 16 2 6" xfId="774"/>
    <cellStyle name="Normal 16 2 6 2" xfId="775"/>
    <cellStyle name="Normal 16 2 7" xfId="776"/>
    <cellStyle name="Normal 16 2 7 2" xfId="777"/>
    <cellStyle name="Normal 16 2 8" xfId="778"/>
    <cellStyle name="Normal 16 3" xfId="779"/>
    <cellStyle name="Normal 16 3 2" xfId="780"/>
    <cellStyle name="Normal 16 3 2 2" xfId="781"/>
    <cellStyle name="Normal 16 3 3" xfId="782"/>
    <cellStyle name="Normal 16 3 3 2" xfId="783"/>
    <cellStyle name="Normal 16 3 4" xfId="784"/>
    <cellStyle name="Normal 16 3 4 2" xfId="785"/>
    <cellStyle name="Normal 16 3 5" xfId="786"/>
    <cellStyle name="Normal 16 3 5 2" xfId="787"/>
    <cellStyle name="Normal 16 3 6" xfId="788"/>
    <cellStyle name="Normal 16 3 6 2" xfId="789"/>
    <cellStyle name="Normal 16 3 7" xfId="790"/>
    <cellStyle name="Normal 16 3 7 2" xfId="791"/>
    <cellStyle name="Normal 16 3 8" xfId="792"/>
    <cellStyle name="Normal 16 4" xfId="793"/>
    <cellStyle name="Normal 16 4 2" xfId="794"/>
    <cellStyle name="Normal 16 5" xfId="795"/>
    <cellStyle name="Normal 16 5 2" xfId="796"/>
    <cellStyle name="Normal 16 6" xfId="797"/>
    <cellStyle name="Normal 16 6 2" xfId="798"/>
    <cellStyle name="Normal 16 7" xfId="799"/>
    <cellStyle name="Normal 16 7 2" xfId="800"/>
    <cellStyle name="Normal 16 8" xfId="801"/>
    <cellStyle name="Normal 16 8 2" xfId="802"/>
    <cellStyle name="Normal 16 9" xfId="803"/>
    <cellStyle name="Normal 16 9 2" xfId="804"/>
    <cellStyle name="Normal 17" xfId="805"/>
    <cellStyle name="Normal 17 10" xfId="806"/>
    <cellStyle name="Normal 17 2" xfId="807"/>
    <cellStyle name="Normal 17 3" xfId="808"/>
    <cellStyle name="Normal 17 4" xfId="809"/>
    <cellStyle name="Normal 17 4 2" xfId="810"/>
    <cellStyle name="Normal 17 5" xfId="811"/>
    <cellStyle name="Normal 17 5 2" xfId="812"/>
    <cellStyle name="Normal 17 6" xfId="813"/>
    <cellStyle name="Normal 17 6 2" xfId="814"/>
    <cellStyle name="Normal 17 7" xfId="815"/>
    <cellStyle name="Normal 17 7 2" xfId="816"/>
    <cellStyle name="Normal 17 8" xfId="817"/>
    <cellStyle name="Normal 17 8 2" xfId="818"/>
    <cellStyle name="Normal 17 9" xfId="819"/>
    <cellStyle name="Normal 17 9 2" xfId="820"/>
    <cellStyle name="Normal 18" xfId="821"/>
    <cellStyle name="Normal 19" xfId="822"/>
    <cellStyle name="Normal 2" xfId="141"/>
    <cellStyle name="Normal 2 10" xfId="823"/>
    <cellStyle name="Normal 2 11" xfId="824"/>
    <cellStyle name="Normal 2 12" xfId="825"/>
    <cellStyle name="Normal 2 13" xfId="826"/>
    <cellStyle name="Normal 2 14" xfId="827"/>
    <cellStyle name="Normal 2 15" xfId="828"/>
    <cellStyle name="Normal 2 16" xfId="829"/>
    <cellStyle name="Normal 2 17" xfId="830"/>
    <cellStyle name="Normal 2 18" xfId="831"/>
    <cellStyle name="Normal 2 19" xfId="832"/>
    <cellStyle name="Normal 2 2" xfId="142"/>
    <cellStyle name="Normal 2 2 10" xfId="833"/>
    <cellStyle name="Normal 2 2 11" xfId="834"/>
    <cellStyle name="Normal 2 2 12" xfId="835"/>
    <cellStyle name="Normal 2 2 13" xfId="836"/>
    <cellStyle name="Normal 2 2 14" xfId="837"/>
    <cellStyle name="Normal 2 2 15" xfId="838"/>
    <cellStyle name="Normal 2 2 16" xfId="839"/>
    <cellStyle name="Normal 2 2 17" xfId="840"/>
    <cellStyle name="Normal 2 2 2" xfId="841"/>
    <cellStyle name="Normal 2 2 3" xfId="842"/>
    <cellStyle name="Normal 2 2 4" xfId="843"/>
    <cellStyle name="Normal 2 2 5" xfId="844"/>
    <cellStyle name="Normal 2 2 6" xfId="845"/>
    <cellStyle name="Normal 2 2 7" xfId="846"/>
    <cellStyle name="Normal 2 2 8" xfId="847"/>
    <cellStyle name="Normal 2 2 9" xfId="848"/>
    <cellStyle name="Normal 2 20" xfId="849"/>
    <cellStyle name="Normal 2 20 2" xfId="850"/>
    <cellStyle name="Normal 2 20 2 2" xfId="851"/>
    <cellStyle name="Normal 2 20 2 3" xfId="852"/>
    <cellStyle name="Normal 2 20 2 4" xfId="853"/>
    <cellStyle name="Normal 2 20 2 5" xfId="854"/>
    <cellStyle name="Normal 2 20 2 6" xfId="855"/>
    <cellStyle name="Normal 2 20 3" xfId="856"/>
    <cellStyle name="Normal 2 20 4" xfId="857"/>
    <cellStyle name="Normal 2 20 5" xfId="858"/>
    <cellStyle name="Normal 2 20 6" xfId="859"/>
    <cellStyle name="Normal 2 20 7" xfId="860"/>
    <cellStyle name="Normal 2 21" xfId="861"/>
    <cellStyle name="Normal 2 21 2" xfId="862"/>
    <cellStyle name="Normal 2 21 2 2" xfId="863"/>
    <cellStyle name="Normal 2 21 2 3" xfId="864"/>
    <cellStyle name="Normal 2 21 2 4" xfId="865"/>
    <cellStyle name="Normal 2 21 2 5" xfId="866"/>
    <cellStyle name="Normal 2 21 2 6" xfId="867"/>
    <cellStyle name="Normal 2 21 3" xfId="868"/>
    <cellStyle name="Normal 2 21 4" xfId="869"/>
    <cellStyle name="Normal 2 21 5" xfId="870"/>
    <cellStyle name="Normal 2 21 6" xfId="871"/>
    <cellStyle name="Normal 2 21 7" xfId="872"/>
    <cellStyle name="Normal 2 22" xfId="873"/>
    <cellStyle name="Normal 2 22 2" xfId="874"/>
    <cellStyle name="Normal 2 22 2 2" xfId="875"/>
    <cellStyle name="Normal 2 22 2 3" xfId="876"/>
    <cellStyle name="Normal 2 22 2 4" xfId="877"/>
    <cellStyle name="Normal 2 22 2 5" xfId="878"/>
    <cellStyle name="Normal 2 22 2 6" xfId="879"/>
    <cellStyle name="Normal 2 22 3" xfId="880"/>
    <cellStyle name="Normal 2 22 4" xfId="881"/>
    <cellStyle name="Normal 2 22 5" xfId="882"/>
    <cellStyle name="Normal 2 22 6" xfId="883"/>
    <cellStyle name="Normal 2 22 7" xfId="884"/>
    <cellStyle name="Normal 2 23" xfId="885"/>
    <cellStyle name="Normal 2 23 2" xfId="886"/>
    <cellStyle name="Normal 2 23 2 2" xfId="887"/>
    <cellStyle name="Normal 2 23 2 3" xfId="888"/>
    <cellStyle name="Normal 2 23 2 4" xfId="889"/>
    <cellStyle name="Normal 2 23 2 5" xfId="890"/>
    <cellStyle name="Normal 2 23 2 6" xfId="891"/>
    <cellStyle name="Normal 2 23 3" xfId="892"/>
    <cellStyle name="Normal 2 23 4" xfId="893"/>
    <cellStyle name="Normal 2 23 5" xfId="894"/>
    <cellStyle name="Normal 2 23 6" xfId="895"/>
    <cellStyle name="Normal 2 23 7" xfId="896"/>
    <cellStyle name="Normal 2 24" xfId="897"/>
    <cellStyle name="Normal 2 24 2" xfId="898"/>
    <cellStyle name="Normal 2 24 2 2" xfId="899"/>
    <cellStyle name="Normal 2 24 2 3" xfId="900"/>
    <cellStyle name="Normal 2 24 2 4" xfId="901"/>
    <cellStyle name="Normal 2 24 2 5" xfId="902"/>
    <cellStyle name="Normal 2 24 2 6" xfId="903"/>
    <cellStyle name="Normal 2 24 3" xfId="904"/>
    <cellStyle name="Normal 2 24 4" xfId="905"/>
    <cellStyle name="Normal 2 24 5" xfId="906"/>
    <cellStyle name="Normal 2 24 6" xfId="907"/>
    <cellStyle name="Normal 2 24 7" xfId="908"/>
    <cellStyle name="Normal 2 25" xfId="909"/>
    <cellStyle name="Normal 2 25 2" xfId="910"/>
    <cellStyle name="Normal 2 25 2 2" xfId="911"/>
    <cellStyle name="Normal 2 25 2 3" xfId="912"/>
    <cellStyle name="Normal 2 25 2 4" xfId="913"/>
    <cellStyle name="Normal 2 25 2 5" xfId="914"/>
    <cellStyle name="Normal 2 25 2 6" xfId="915"/>
    <cellStyle name="Normal 2 25 3" xfId="916"/>
    <cellStyle name="Normal 2 25 4" xfId="917"/>
    <cellStyle name="Normal 2 25 5" xfId="918"/>
    <cellStyle name="Normal 2 25 6" xfId="919"/>
    <cellStyle name="Normal 2 25 7" xfId="920"/>
    <cellStyle name="Normal 2 26" xfId="921"/>
    <cellStyle name="Normal 2 26 2" xfId="922"/>
    <cellStyle name="Normal 2 26 2 2" xfId="923"/>
    <cellStyle name="Normal 2 26 2 3" xfId="924"/>
    <cellStyle name="Normal 2 26 2 4" xfId="925"/>
    <cellStyle name="Normal 2 26 2 5" xfId="926"/>
    <cellStyle name="Normal 2 26 2 6" xfId="927"/>
    <cellStyle name="Normal 2 26 3" xfId="928"/>
    <cellStyle name="Normal 2 26 4" xfId="929"/>
    <cellStyle name="Normal 2 26 5" xfId="930"/>
    <cellStyle name="Normal 2 26 6" xfId="931"/>
    <cellStyle name="Normal 2 26 7" xfId="932"/>
    <cellStyle name="Normal 2 27" xfId="933"/>
    <cellStyle name="Normal 2 27 2" xfId="934"/>
    <cellStyle name="Normal 2 27 2 2" xfId="935"/>
    <cellStyle name="Normal 2 27 2 3" xfId="936"/>
    <cellStyle name="Normal 2 27 2 4" xfId="937"/>
    <cellStyle name="Normal 2 27 2 5" xfId="938"/>
    <cellStyle name="Normal 2 27 2 6" xfId="939"/>
    <cellStyle name="Normal 2 27 3" xfId="940"/>
    <cellStyle name="Normal 2 27 4" xfId="941"/>
    <cellStyle name="Normal 2 27 5" xfId="942"/>
    <cellStyle name="Normal 2 27 6" xfId="943"/>
    <cellStyle name="Normal 2 27 7" xfId="944"/>
    <cellStyle name="Normal 2 28" xfId="945"/>
    <cellStyle name="Normal 2 28 2" xfId="946"/>
    <cellStyle name="Normal 2 28 2 2" xfId="947"/>
    <cellStyle name="Normal 2 28 2 3" xfId="948"/>
    <cellStyle name="Normal 2 28 2 4" xfId="949"/>
    <cellStyle name="Normal 2 28 2 5" xfId="950"/>
    <cellStyle name="Normal 2 28 2 6" xfId="951"/>
    <cellStyle name="Normal 2 28 3" xfId="952"/>
    <cellStyle name="Normal 2 28 4" xfId="953"/>
    <cellStyle name="Normal 2 28 5" xfId="954"/>
    <cellStyle name="Normal 2 28 6" xfId="955"/>
    <cellStyle name="Normal 2 28 7" xfId="956"/>
    <cellStyle name="Normal 2 29" xfId="957"/>
    <cellStyle name="Normal 2 29 2" xfId="958"/>
    <cellStyle name="Normal 2 29 2 2" xfId="959"/>
    <cellStyle name="Normal 2 29 2 3" xfId="960"/>
    <cellStyle name="Normal 2 29 2 4" xfId="961"/>
    <cellStyle name="Normal 2 29 2 5" xfId="962"/>
    <cellStyle name="Normal 2 29 2 6" xfId="963"/>
    <cellStyle name="Normal 2 29 3" xfId="964"/>
    <cellStyle name="Normal 2 29 4" xfId="965"/>
    <cellStyle name="Normal 2 29 5" xfId="966"/>
    <cellStyle name="Normal 2 29 6" xfId="967"/>
    <cellStyle name="Normal 2 29 7" xfId="968"/>
    <cellStyle name="Normal 2 3" xfId="143"/>
    <cellStyle name="Normal 2 3 10" xfId="969"/>
    <cellStyle name="Normal 2 3 11" xfId="970"/>
    <cellStyle name="Normal 2 3 12" xfId="971"/>
    <cellStyle name="Normal 2 3 13" xfId="972"/>
    <cellStyle name="Normal 2 3 14" xfId="973"/>
    <cellStyle name="Normal 2 3 15" xfId="974"/>
    <cellStyle name="Normal 2 3 16" xfId="975"/>
    <cellStyle name="Normal 2 3 17" xfId="976"/>
    <cellStyle name="Normal 2 3 2" xfId="977"/>
    <cellStyle name="Normal 2 3 3" xfId="978"/>
    <cellStyle name="Normal 2 3 4" xfId="979"/>
    <cellStyle name="Normal 2 3 5" xfId="980"/>
    <cellStyle name="Normal 2 3 6" xfId="981"/>
    <cellStyle name="Normal 2 3 7" xfId="982"/>
    <cellStyle name="Normal 2 3 8" xfId="983"/>
    <cellStyle name="Normal 2 3 9" xfId="984"/>
    <cellStyle name="Normal 2 4" xfId="985"/>
    <cellStyle name="Normal 2 5" xfId="986"/>
    <cellStyle name="Normal 2 6" xfId="987"/>
    <cellStyle name="Normal 2 7" xfId="988"/>
    <cellStyle name="Normal 2 8" xfId="989"/>
    <cellStyle name="Normal 2 9" xfId="990"/>
    <cellStyle name="Normal 20" xfId="991"/>
    <cellStyle name="Normal 21" xfId="992"/>
    <cellStyle name="Normal 22" xfId="993"/>
    <cellStyle name="Normal 22 2" xfId="994"/>
    <cellStyle name="Normal 22 2 2" xfId="995"/>
    <cellStyle name="Normal 22 2 2 2" xfId="996"/>
    <cellStyle name="Normal 22 2 3" xfId="997"/>
    <cellStyle name="Normal 22 2 3 2" xfId="998"/>
    <cellStyle name="Normal 22 2 4" xfId="999"/>
    <cellStyle name="Normal 22 2 4 2" xfId="1000"/>
    <cellStyle name="Normal 22 2 5" xfId="1001"/>
    <cellStyle name="Normal 22 2 5 2" xfId="1002"/>
    <cellStyle name="Normal 22 2 6" xfId="1003"/>
    <cellStyle name="Normal 22 2 6 2" xfId="1004"/>
    <cellStyle name="Normal 22 2 7" xfId="1005"/>
    <cellStyle name="Normal 22 2 7 2" xfId="1006"/>
    <cellStyle name="Normal 22 2 8" xfId="1007"/>
    <cellStyle name="Normal 22 3" xfId="1008"/>
    <cellStyle name="Normal 22 3 2" xfId="1009"/>
    <cellStyle name="Normal 22 4" xfId="1010"/>
    <cellStyle name="Normal 22 4 2" xfId="1011"/>
    <cellStyle name="Normal 22 5" xfId="1012"/>
    <cellStyle name="Normal 22 5 2" xfId="1013"/>
    <cellStyle name="Normal 22 6" xfId="1014"/>
    <cellStyle name="Normal 22 6 2" xfId="1015"/>
    <cellStyle name="Normal 22 7" xfId="1016"/>
    <cellStyle name="Normal 22 7 2" xfId="1017"/>
    <cellStyle name="Normal 22 8" xfId="1018"/>
    <cellStyle name="Normal 22 8 2" xfId="1019"/>
    <cellStyle name="Normal 22 9" xfId="1020"/>
    <cellStyle name="Normal 23" xfId="1021"/>
    <cellStyle name="Normal 23 2" xfId="1022"/>
    <cellStyle name="Normal 24" xfId="1023"/>
    <cellStyle name="Normal 24 2" xfId="1024"/>
    <cellStyle name="Normal 25" xfId="1025"/>
    <cellStyle name="Normal 26" xfId="1026"/>
    <cellStyle name="Normal 27" xfId="1027"/>
    <cellStyle name="Normal 28" xfId="1028"/>
    <cellStyle name="Normal 29" xfId="1029"/>
    <cellStyle name="Normal 3" xfId="144"/>
    <cellStyle name="Normal 30" xfId="1030"/>
    <cellStyle name="Normal 31" xfId="1031"/>
    <cellStyle name="Normal 31 2" xfId="1032"/>
    <cellStyle name="Normal 32" xfId="1033"/>
    <cellStyle name="Normal 32 2" xfId="1034"/>
    <cellStyle name="Normal 32 2 2" xfId="1035"/>
    <cellStyle name="Normal 32 3" xfId="1036"/>
    <cellStyle name="Normal 32 3 2" xfId="1037"/>
    <cellStyle name="Normal 32 4" xfId="1038"/>
    <cellStyle name="Normal 32 4 2" xfId="1039"/>
    <cellStyle name="Normal 32 5" xfId="1040"/>
    <cellStyle name="Normal 32 5 2" xfId="1041"/>
    <cellStyle name="Normal 32 6" xfId="1042"/>
    <cellStyle name="Normal 32 6 2" xfId="1043"/>
    <cellStyle name="Normal 32 7" xfId="1044"/>
    <cellStyle name="Normal 33" xfId="1045"/>
    <cellStyle name="Normal 33 2" xfId="1046"/>
    <cellStyle name="Normal 33 3" xfId="1047"/>
    <cellStyle name="Normal 33 4" xfId="1048"/>
    <cellStyle name="Normal 33 5" xfId="1049"/>
    <cellStyle name="Normal 34" xfId="1050"/>
    <cellStyle name="Normal 34 2" xfId="1051"/>
    <cellStyle name="Normal 34 3" xfId="1052"/>
    <cellStyle name="Normal 34 4" xfId="1053"/>
    <cellStyle name="Normal 34 5" xfId="1054"/>
    <cellStyle name="Normal 35" xfId="1055"/>
    <cellStyle name="Normal 35 2" xfId="1056"/>
    <cellStyle name="Normal 35 3" xfId="1057"/>
    <cellStyle name="Normal 36" xfId="1058"/>
    <cellStyle name="Normal 37" xfId="1059"/>
    <cellStyle name="Normal 38" xfId="1060"/>
    <cellStyle name="Normal 39" xfId="1061"/>
    <cellStyle name="Normal 4" xfId="145"/>
    <cellStyle name="Normal 4 10" xfId="1062"/>
    <cellStyle name="Normal 4 11" xfId="1063"/>
    <cellStyle name="Normal 4 12" xfId="1064"/>
    <cellStyle name="Normal 4 13" xfId="1065"/>
    <cellStyle name="Normal 4 14" xfId="1066"/>
    <cellStyle name="Normal 4 15" xfId="1067"/>
    <cellStyle name="Normal 4 16" xfId="1068"/>
    <cellStyle name="Normal 4 17" xfId="1069"/>
    <cellStyle name="Normal 4 2" xfId="1070"/>
    <cellStyle name="Normal 4 3" xfId="1071"/>
    <cellStyle name="Normal 4 4" xfId="1072"/>
    <cellStyle name="Normal 4 5" xfId="1073"/>
    <cellStyle name="Normal 4 6" xfId="1074"/>
    <cellStyle name="Normal 4 7" xfId="1075"/>
    <cellStyle name="Normal 4 8" xfId="1076"/>
    <cellStyle name="Normal 4 9" xfId="1077"/>
    <cellStyle name="Normal 40" xfId="1626"/>
    <cellStyle name="Normal 40 2" xfId="1628"/>
    <cellStyle name="Normal 5" xfId="146"/>
    <cellStyle name="Normal 5 10" xfId="1078"/>
    <cellStyle name="Normal 5 11" xfId="1079"/>
    <cellStyle name="Normal 5 12" xfId="1080"/>
    <cellStyle name="Normal 5 13" xfId="1081"/>
    <cellStyle name="Normal 5 14" xfId="1082"/>
    <cellStyle name="Normal 5 15" xfId="1083"/>
    <cellStyle name="Normal 5 16" xfId="1084"/>
    <cellStyle name="Normal 5 17" xfId="1085"/>
    <cellStyle name="Normal 5 18" xfId="1086"/>
    <cellStyle name="Normal 5 19" xfId="1087"/>
    <cellStyle name="Normal 5 2" xfId="1088"/>
    <cellStyle name="Normal 5 20" xfId="1089"/>
    <cellStyle name="Normal 5 21" xfId="1090"/>
    <cellStyle name="Normal 5 3" xfId="1091"/>
    <cellStyle name="Normal 5 4" xfId="1092"/>
    <cellStyle name="Normal 5 5" xfId="1093"/>
    <cellStyle name="Normal 5 6" xfId="1094"/>
    <cellStyle name="Normal 5 7" xfId="1095"/>
    <cellStyle name="Normal 5 8" xfId="1096"/>
    <cellStyle name="Normal 5 9" xfId="1097"/>
    <cellStyle name="Normal 6" xfId="147"/>
    <cellStyle name="Normal 6 10" xfId="1098"/>
    <cellStyle name="Normal 6 11" xfId="1099"/>
    <cellStyle name="Normal 6 2" xfId="1100"/>
    <cellStyle name="Normal 6 3" xfId="1101"/>
    <cellStyle name="Normal 6 4" xfId="1102"/>
    <cellStyle name="Normal 6 5" xfId="1103"/>
    <cellStyle name="Normal 6 6" xfId="1104"/>
    <cellStyle name="Normal 6 7" xfId="1105"/>
    <cellStyle name="Normal 6 8" xfId="1106"/>
    <cellStyle name="Normal 6 9" xfId="1107"/>
    <cellStyle name="Normal 7" xfId="148"/>
    <cellStyle name="Normal 7 10" xfId="1108"/>
    <cellStyle name="Normal 7 11" xfId="1109"/>
    <cellStyle name="Normal 7 12" xfId="1110"/>
    <cellStyle name="Normal 7 12 2" xfId="1111"/>
    <cellStyle name="Normal 7 12 3" xfId="1112"/>
    <cellStyle name="Normal 7 12 3 2" xfId="1113"/>
    <cellStyle name="Normal 7 12 4" xfId="1114"/>
    <cellStyle name="Normal 7 12 4 2" xfId="1115"/>
    <cellStyle name="Normal 7 12 5" xfId="1116"/>
    <cellStyle name="Normal 7 12 5 2" xfId="1117"/>
    <cellStyle name="Normal 7 12 6" xfId="1118"/>
    <cellStyle name="Normal 7 12 6 2" xfId="1119"/>
    <cellStyle name="Normal 7 12 7" xfId="1120"/>
    <cellStyle name="Normal 7 12 7 2" xfId="1121"/>
    <cellStyle name="Normal 7 12 8" xfId="1122"/>
    <cellStyle name="Normal 7 12 8 2" xfId="1123"/>
    <cellStyle name="Normal 7 12 9" xfId="1124"/>
    <cellStyle name="Normal 7 13" xfId="1125"/>
    <cellStyle name="Normal 7 14" xfId="1126"/>
    <cellStyle name="Normal 7 15" xfId="1127"/>
    <cellStyle name="Normal 7 16" xfId="1128"/>
    <cellStyle name="Normal 7 17" xfId="1129"/>
    <cellStyle name="Normal 7 18" xfId="1130"/>
    <cellStyle name="Normal 7 19" xfId="1131"/>
    <cellStyle name="Normal 7 2" xfId="1132"/>
    <cellStyle name="Normal 7 20" xfId="1133"/>
    <cellStyle name="Normal 7 21" xfId="1134"/>
    <cellStyle name="Normal 7 22" xfId="1135"/>
    <cellStyle name="Normal 7 23" xfId="1136"/>
    <cellStyle name="Normal 7 24" xfId="1137"/>
    <cellStyle name="Normal 7 25" xfId="1138"/>
    <cellStyle name="Normal 7 25 10" xfId="1139"/>
    <cellStyle name="Normal 7 25 2" xfId="1140"/>
    <cellStyle name="Normal 7 25 3" xfId="1141"/>
    <cellStyle name="Normal 7 25 4" xfId="1142"/>
    <cellStyle name="Normal 7 25 4 2" xfId="1143"/>
    <cellStyle name="Normal 7 25 5" xfId="1144"/>
    <cellStyle name="Normal 7 25 5 2" xfId="1145"/>
    <cellStyle name="Normal 7 25 6" xfId="1146"/>
    <cellStyle name="Normal 7 25 6 2" xfId="1147"/>
    <cellStyle name="Normal 7 25 7" xfId="1148"/>
    <cellStyle name="Normal 7 25 7 2" xfId="1149"/>
    <cellStyle name="Normal 7 25 8" xfId="1150"/>
    <cellStyle name="Normal 7 25 8 2" xfId="1151"/>
    <cellStyle name="Normal 7 25 9" xfId="1152"/>
    <cellStyle name="Normal 7 25 9 2" xfId="1153"/>
    <cellStyle name="Normal 7 26" xfId="1154"/>
    <cellStyle name="Normal 7 26 2" xfId="1155"/>
    <cellStyle name="Normal 7 26 2 2" xfId="1156"/>
    <cellStyle name="Normal 7 26 3" xfId="1157"/>
    <cellStyle name="Normal 7 26 3 2" xfId="1158"/>
    <cellStyle name="Normal 7 26 4" xfId="1159"/>
    <cellStyle name="Normal 7 26 4 2" xfId="1160"/>
    <cellStyle name="Normal 7 26 5" xfId="1161"/>
    <cellStyle name="Normal 7 26 5 2" xfId="1162"/>
    <cellStyle name="Normal 7 26 6" xfId="1163"/>
    <cellStyle name="Normal 7 26 6 2" xfId="1164"/>
    <cellStyle name="Normal 7 26 7" xfId="1165"/>
    <cellStyle name="Normal 7 26 7 2" xfId="1166"/>
    <cellStyle name="Normal 7 26 8" xfId="1167"/>
    <cellStyle name="Normal 7 27" xfId="1168"/>
    <cellStyle name="Normal 7 27 2" xfId="1169"/>
    <cellStyle name="Normal 7 28" xfId="1170"/>
    <cellStyle name="Normal 7 28 2" xfId="1171"/>
    <cellStyle name="Normal 7 29" xfId="1172"/>
    <cellStyle name="Normal 7 29 2" xfId="1173"/>
    <cellStyle name="Normal 7 3" xfId="1174"/>
    <cellStyle name="Normal 7 3 2" xfId="1175"/>
    <cellStyle name="Normal 7 3 2 10" xfId="1176"/>
    <cellStyle name="Normal 7 3 2 10 2" xfId="1177"/>
    <cellStyle name="Normal 7 3 2 11" xfId="1178"/>
    <cellStyle name="Normal 7 3 2 2" xfId="1179"/>
    <cellStyle name="Normal 7 3 2 3" xfId="1180"/>
    <cellStyle name="Normal 7 3 2 4" xfId="1181"/>
    <cellStyle name="Normal 7 3 2 5" xfId="1182"/>
    <cellStyle name="Normal 7 3 2 5 2" xfId="1183"/>
    <cellStyle name="Normal 7 3 2 6" xfId="1184"/>
    <cellStyle name="Normal 7 3 2 6 2" xfId="1185"/>
    <cellStyle name="Normal 7 3 2 7" xfId="1186"/>
    <cellStyle name="Normal 7 3 2 7 2" xfId="1187"/>
    <cellStyle name="Normal 7 3 2 8" xfId="1188"/>
    <cellStyle name="Normal 7 3 2 8 2" xfId="1189"/>
    <cellStyle name="Normal 7 3 2 9" xfId="1190"/>
    <cellStyle name="Normal 7 3 2 9 2" xfId="1191"/>
    <cellStyle name="Normal 7 3 3" xfId="1192"/>
    <cellStyle name="Normal 7 3 4" xfId="1193"/>
    <cellStyle name="Normal 7 3 4 2" xfId="1194"/>
    <cellStyle name="Normal 7 3 4 2 2" xfId="1195"/>
    <cellStyle name="Normal 7 3 4 3" xfId="1196"/>
    <cellStyle name="Normal 7 3 4 3 2" xfId="1197"/>
    <cellStyle name="Normal 7 3 4 4" xfId="1198"/>
    <cellStyle name="Normal 7 3 4 4 2" xfId="1199"/>
    <cellStyle name="Normal 7 3 4 5" xfId="1200"/>
    <cellStyle name="Normal 7 3 4 5 2" xfId="1201"/>
    <cellStyle name="Normal 7 3 4 6" xfId="1202"/>
    <cellStyle name="Normal 7 3 4 6 2" xfId="1203"/>
    <cellStyle name="Normal 7 3 4 7" xfId="1204"/>
    <cellStyle name="Normal 7 3 4 7 2" xfId="1205"/>
    <cellStyle name="Normal 7 3 4 8" xfId="1206"/>
    <cellStyle name="Normal 7 3 5" xfId="1207"/>
    <cellStyle name="Normal 7 3 5 2" xfId="1208"/>
    <cellStyle name="Normal 7 3 5 2 2" xfId="1209"/>
    <cellStyle name="Normal 7 3 5 3" xfId="1210"/>
    <cellStyle name="Normal 7 3 5 3 2" xfId="1211"/>
    <cellStyle name="Normal 7 3 5 4" xfId="1212"/>
    <cellStyle name="Normal 7 3 5 4 2" xfId="1213"/>
    <cellStyle name="Normal 7 3 5 5" xfId="1214"/>
    <cellStyle name="Normal 7 3 5 5 2" xfId="1215"/>
    <cellStyle name="Normal 7 3 5 6" xfId="1216"/>
    <cellStyle name="Normal 7 3 5 6 2" xfId="1217"/>
    <cellStyle name="Normal 7 3 5 7" xfId="1218"/>
    <cellStyle name="Normal 7 3 5 7 2" xfId="1219"/>
    <cellStyle name="Normal 7 3 5 8" xfId="1220"/>
    <cellStyle name="Normal 7 30" xfId="1221"/>
    <cellStyle name="Normal 7 30 2" xfId="1222"/>
    <cellStyle name="Normal 7 31" xfId="1223"/>
    <cellStyle name="Normal 7 31 2" xfId="1224"/>
    <cellStyle name="Normal 7 32" xfId="1225"/>
    <cellStyle name="Normal 7 32 2" xfId="1226"/>
    <cellStyle name="Normal 7 33" xfId="1227"/>
    <cellStyle name="Normal 7 4" xfId="1228"/>
    <cellStyle name="Normal 7 5" xfId="1229"/>
    <cellStyle name="Normal 7 6" xfId="1230"/>
    <cellStyle name="Normal 7 7" xfId="1231"/>
    <cellStyle name="Normal 7 8" xfId="1232"/>
    <cellStyle name="Normal 7 9" xfId="1233"/>
    <cellStyle name="Normal 8" xfId="149"/>
    <cellStyle name="Normal 8 2" xfId="1234"/>
    <cellStyle name="Normal 8 3" xfId="1235"/>
    <cellStyle name="Normal 8 4" xfId="1236"/>
    <cellStyle name="Normal 8 5" xfId="1237"/>
    <cellStyle name="Normal 8 6" xfId="1238"/>
    <cellStyle name="Normal 8 7" xfId="1239"/>
    <cellStyle name="Normal 9" xfId="150"/>
    <cellStyle name="Normal 9 2" xfId="1240"/>
    <cellStyle name="Normal 9 2 2" xfId="1241"/>
    <cellStyle name="Normal 9 2 2 2" xfId="1242"/>
    <cellStyle name="Normal 9 2 2 2 2" xfId="1243"/>
    <cellStyle name="Normal 9 2 2 3" xfId="1244"/>
    <cellStyle name="Normal 9 2 2 3 2" xfId="1245"/>
    <cellStyle name="Normal 9 2 2 4" xfId="1246"/>
    <cellStyle name="Normal 9 2 2 4 2" xfId="1247"/>
    <cellStyle name="Normal 9 2 2 5" xfId="1248"/>
    <cellStyle name="Normal 9 2 2 5 2" xfId="1249"/>
    <cellStyle name="Normal 9 2 2 6" xfId="1250"/>
    <cellStyle name="Normal 9 2 2 6 2" xfId="1251"/>
    <cellStyle name="Normal 9 2 2 7" xfId="1252"/>
    <cellStyle name="Normal 9 2 2 7 2" xfId="1253"/>
    <cellStyle name="Normal 9 2 2 8" xfId="1254"/>
    <cellStyle name="Normal 9 2 3" xfId="1255"/>
    <cellStyle name="Normal 9 2 3 2" xfId="1256"/>
    <cellStyle name="Normal 9 2 3 2 2" xfId="1257"/>
    <cellStyle name="Normal 9 2 3 3" xfId="1258"/>
    <cellStyle name="Normal 9 2 3 3 2" xfId="1259"/>
    <cellStyle name="Normal 9 2 3 4" xfId="1260"/>
    <cellStyle name="Normal 9 2 3 4 2" xfId="1261"/>
    <cellStyle name="Normal 9 2 3 5" xfId="1262"/>
    <cellStyle name="Normal 9 2 3 5 2" xfId="1263"/>
    <cellStyle name="Normal 9 2 3 6" xfId="1264"/>
    <cellStyle name="Normal 9 2 3 6 2" xfId="1265"/>
    <cellStyle name="Normal 9 2 3 7" xfId="1266"/>
    <cellStyle name="Normal 9 2 3 7 2" xfId="1267"/>
    <cellStyle name="Normal 9 2 3 8" xfId="1268"/>
    <cellStyle name="Normal 9 2 4" xfId="1269"/>
    <cellStyle name="Normal 9 2 4 2" xfId="1270"/>
    <cellStyle name="Normal 9 2 4 2 2" xfId="1271"/>
    <cellStyle name="Normal 9 2 4 3" xfId="1272"/>
    <cellStyle name="Normal 9 2 4 3 2" xfId="1273"/>
    <cellStyle name="Normal 9 2 4 4" xfId="1274"/>
    <cellStyle name="Normal 9 2 4 4 2" xfId="1275"/>
    <cellStyle name="Normal 9 2 4 5" xfId="1276"/>
    <cellStyle name="Normal 9 2 4 5 2" xfId="1277"/>
    <cellStyle name="Normal 9 2 4 6" xfId="1278"/>
    <cellStyle name="Normal 9 2 4 6 2" xfId="1279"/>
    <cellStyle name="Normal 9 2 4 7" xfId="1280"/>
    <cellStyle name="Normal 9 2 4 7 2" xfId="1281"/>
    <cellStyle name="Normal 9 2 4 8" xfId="1282"/>
    <cellStyle name="Normal 9 2 5" xfId="1283"/>
    <cellStyle name="Normal 9 2 5 2" xfId="1284"/>
    <cellStyle name="Normal 9 2 5 2 2" xfId="1285"/>
    <cellStyle name="Normal 9 2 5 3" xfId="1286"/>
    <cellStyle name="Normal 9 2 5 3 2" xfId="1287"/>
    <cellStyle name="Normal 9 2 5 4" xfId="1288"/>
    <cellStyle name="Normal 9 2 5 4 2" xfId="1289"/>
    <cellStyle name="Normal 9 2 5 5" xfId="1290"/>
    <cellStyle name="Normal 9 2 5 5 2" xfId="1291"/>
    <cellStyle name="Normal 9 2 5 6" xfId="1292"/>
    <cellStyle name="Normal 9 2 5 6 2" xfId="1293"/>
    <cellStyle name="Normal 9 2 5 7" xfId="1294"/>
    <cellStyle name="Normal 9 2 5 7 2" xfId="1295"/>
    <cellStyle name="Normal 9 2 5 8" xfId="1296"/>
    <cellStyle name="Normal 9 2 6" xfId="1297"/>
    <cellStyle name="Normal 9 2 6 2" xfId="1298"/>
    <cellStyle name="Normal 9 2 6 2 2" xfId="1299"/>
    <cellStyle name="Normal 9 2 6 3" xfId="1300"/>
    <cellStyle name="Normal 9 2 6 3 2" xfId="1301"/>
    <cellStyle name="Normal 9 2 6 4" xfId="1302"/>
    <cellStyle name="Normal 9 2 6 4 2" xfId="1303"/>
    <cellStyle name="Normal 9 2 6 5" xfId="1304"/>
    <cellStyle name="Normal 9 2 6 5 2" xfId="1305"/>
    <cellStyle name="Normal 9 2 6 6" xfId="1306"/>
    <cellStyle name="Normal 9 2 6 6 2" xfId="1307"/>
    <cellStyle name="Normal 9 2 6 7" xfId="1308"/>
    <cellStyle name="Normal 9 2 6 7 2" xfId="1309"/>
    <cellStyle name="Normal 9 2 6 8" xfId="1310"/>
    <cellStyle name="Normal 9 3" xfId="1311"/>
    <cellStyle name="Normal 9 3 2" xfId="1312"/>
    <cellStyle name="Normal 9 3 2 2" xfId="1313"/>
    <cellStyle name="Normal 9 3 3" xfId="1314"/>
    <cellStyle name="Normal 9 3 3 2" xfId="1315"/>
    <cellStyle name="Normal 9 3 4" xfId="1316"/>
    <cellStyle name="Normal 9 3 4 2" xfId="1317"/>
    <cellStyle name="Normal 9 3 5" xfId="1318"/>
    <cellStyle name="Normal 9 3 5 2" xfId="1319"/>
    <cellStyle name="Normal 9 3 6" xfId="1320"/>
    <cellStyle name="Normal 9 3 6 2" xfId="1321"/>
    <cellStyle name="Normal 9 3 7" xfId="1322"/>
    <cellStyle name="Normal 9 3 7 2" xfId="1323"/>
    <cellStyle name="Normal 9 3 8" xfId="1324"/>
    <cellStyle name="Normal 9 4" xfId="1325"/>
    <cellStyle name="Normal 9 5" xfId="1326"/>
    <cellStyle name="Normal 9 6" xfId="1327"/>
    <cellStyle name="Normal 9 7" xfId="1328"/>
    <cellStyle name="Normal 9 8" xfId="1329"/>
    <cellStyle name="Note 2" xfId="151"/>
    <cellStyle name="Note 2 10" xfId="1330"/>
    <cellStyle name="Note 2 10 2" xfId="1331"/>
    <cellStyle name="Note 2 11" xfId="1332"/>
    <cellStyle name="Note 2 11 2" xfId="1333"/>
    <cellStyle name="Note 2 12" xfId="1334"/>
    <cellStyle name="Note 2 12 2" xfId="1335"/>
    <cellStyle name="Note 2 13" xfId="1336"/>
    <cellStyle name="Note 2 13 2" xfId="1337"/>
    <cellStyle name="Note 2 14" xfId="1338"/>
    <cellStyle name="Note 2 14 2" xfId="1339"/>
    <cellStyle name="Note 2 15" xfId="1340"/>
    <cellStyle name="Note 2 15 2" xfId="1341"/>
    <cellStyle name="Note 2 16" xfId="1342"/>
    <cellStyle name="Note 2 16 2" xfId="1343"/>
    <cellStyle name="Note 2 17" xfId="1344"/>
    <cellStyle name="Note 2 17 2" xfId="1345"/>
    <cellStyle name="Note 2 18" xfId="1346"/>
    <cellStyle name="Note 2 18 2" xfId="1347"/>
    <cellStyle name="Note 2 19" xfId="1348"/>
    <cellStyle name="Note 2 2" xfId="1349"/>
    <cellStyle name="Note 2 2 2" xfId="1350"/>
    <cellStyle name="Note 2 3" xfId="1351"/>
    <cellStyle name="Note 2 3 2" xfId="1352"/>
    <cellStyle name="Note 2 4" xfId="1353"/>
    <cellStyle name="Note 2 4 2" xfId="1354"/>
    <cellStyle name="Note 2 5" xfId="1355"/>
    <cellStyle name="Note 2 5 2" xfId="1356"/>
    <cellStyle name="Note 2 6" xfId="1357"/>
    <cellStyle name="Note 2 6 2" xfId="1358"/>
    <cellStyle name="Note 2 7" xfId="1359"/>
    <cellStyle name="Note 2 7 2" xfId="1360"/>
    <cellStyle name="Note 2 8" xfId="1361"/>
    <cellStyle name="Note 2 8 2" xfId="1362"/>
    <cellStyle name="Note 2 9" xfId="1363"/>
    <cellStyle name="Note 2 9 2" xfId="1364"/>
    <cellStyle name="Note 3" xfId="152"/>
    <cellStyle name="Note 3 10" xfId="1365"/>
    <cellStyle name="Note 3 10 2" xfId="1366"/>
    <cellStyle name="Note 3 11" xfId="1367"/>
    <cellStyle name="Note 3 11 2" xfId="1368"/>
    <cellStyle name="Note 3 12" xfId="1369"/>
    <cellStyle name="Note 3 12 2" xfId="1370"/>
    <cellStyle name="Note 3 13" xfId="1371"/>
    <cellStyle name="Note 3 13 2" xfId="1372"/>
    <cellStyle name="Note 3 14" xfId="1373"/>
    <cellStyle name="Note 3 14 2" xfId="1374"/>
    <cellStyle name="Note 3 15" xfId="1375"/>
    <cellStyle name="Note 3 15 2" xfId="1376"/>
    <cellStyle name="Note 3 16" xfId="1377"/>
    <cellStyle name="Note 3 16 2" xfId="1378"/>
    <cellStyle name="Note 3 17" xfId="1379"/>
    <cellStyle name="Note 3 17 2" xfId="1380"/>
    <cellStyle name="Note 3 18" xfId="1381"/>
    <cellStyle name="Note 3 2" xfId="1382"/>
    <cellStyle name="Note 3 2 2" xfId="1383"/>
    <cellStyle name="Note 3 3" xfId="1384"/>
    <cellStyle name="Note 3 3 2" xfId="1385"/>
    <cellStyle name="Note 3 4" xfId="1386"/>
    <cellStyle name="Note 3 4 2" xfId="1387"/>
    <cellStyle name="Note 3 5" xfId="1388"/>
    <cellStyle name="Note 3 5 2" xfId="1389"/>
    <cellStyle name="Note 3 6" xfId="1390"/>
    <cellStyle name="Note 3 6 2" xfId="1391"/>
    <cellStyle name="Note 3 7" xfId="1392"/>
    <cellStyle name="Note 3 7 2" xfId="1393"/>
    <cellStyle name="Note 3 8" xfId="1394"/>
    <cellStyle name="Note 3 8 2" xfId="1395"/>
    <cellStyle name="Note 3 9" xfId="1396"/>
    <cellStyle name="Note 3 9 2" xfId="1397"/>
    <cellStyle name="Note 4" xfId="153"/>
    <cellStyle name="Note 4 10" xfId="1398"/>
    <cellStyle name="Note 4 10 2" xfId="1399"/>
    <cellStyle name="Note 4 11" xfId="1400"/>
    <cellStyle name="Note 4 11 2" xfId="1401"/>
    <cellStyle name="Note 4 12" xfId="1402"/>
    <cellStyle name="Note 4 12 2" xfId="1403"/>
    <cellStyle name="Note 4 13" xfId="1404"/>
    <cellStyle name="Note 4 13 2" xfId="1405"/>
    <cellStyle name="Note 4 14" xfId="1406"/>
    <cellStyle name="Note 4 14 2" xfId="1407"/>
    <cellStyle name="Note 4 15" xfId="1408"/>
    <cellStyle name="Note 4 15 2" xfId="1409"/>
    <cellStyle name="Note 4 16" xfId="1410"/>
    <cellStyle name="Note 4 16 2" xfId="1411"/>
    <cellStyle name="Note 4 17" xfId="1412"/>
    <cellStyle name="Note 4 17 2" xfId="1413"/>
    <cellStyle name="Note 4 18" xfId="1414"/>
    <cellStyle name="Note 4 2" xfId="1415"/>
    <cellStyle name="Note 4 2 2" xfId="1416"/>
    <cellStyle name="Note 4 3" xfId="1417"/>
    <cellStyle name="Note 4 3 2" xfId="1418"/>
    <cellStyle name="Note 4 4" xfId="1419"/>
    <cellStyle name="Note 4 4 2" xfId="1420"/>
    <cellStyle name="Note 4 5" xfId="1421"/>
    <cellStyle name="Note 4 5 2" xfId="1422"/>
    <cellStyle name="Note 4 6" xfId="1423"/>
    <cellStyle name="Note 4 6 2" xfId="1424"/>
    <cellStyle name="Note 4 7" xfId="1425"/>
    <cellStyle name="Note 4 7 2" xfId="1426"/>
    <cellStyle name="Note 4 8" xfId="1427"/>
    <cellStyle name="Note 4 8 2" xfId="1428"/>
    <cellStyle name="Note 4 9" xfId="1429"/>
    <cellStyle name="Note 4 9 2" xfId="1430"/>
    <cellStyle name="Note 5" xfId="1431"/>
    <cellStyle name="Note 5 2" xfId="1432"/>
    <cellStyle name="Note 6" xfId="1433"/>
    <cellStyle name="Note 6 2" xfId="1434"/>
    <cellStyle name="Note 7" xfId="1435"/>
    <cellStyle name="Note 7 2" xfId="1436"/>
    <cellStyle name="Note 8" xfId="1437"/>
    <cellStyle name="Note 8 2" xfId="1438"/>
    <cellStyle name="Note 9" xfId="1439"/>
    <cellStyle name="Note 9 2" xfId="1440"/>
    <cellStyle name="Number" xfId="154"/>
    <cellStyle name="Number 2" xfId="155"/>
    <cellStyle name="Number 2 2" xfId="1441"/>
    <cellStyle name="Number 2 2 2" xfId="1442"/>
    <cellStyle name="Number 2 3" xfId="1443"/>
    <cellStyle name="Number 2 3 2" xfId="1444"/>
    <cellStyle name="Number 2 4" xfId="1445"/>
    <cellStyle name="Number 3" xfId="156"/>
    <cellStyle name="Number 3 2" xfId="1446"/>
    <cellStyle name="Number 3 2 2" xfId="1447"/>
    <cellStyle name="Number 3 3" xfId="1448"/>
    <cellStyle name="Number 3 3 2" xfId="1449"/>
    <cellStyle name="Number 3 4" xfId="1450"/>
    <cellStyle name="Number 4" xfId="157"/>
    <cellStyle name="Number 4 2" xfId="1451"/>
    <cellStyle name="Number 4 2 2" xfId="1452"/>
    <cellStyle name="Number 4 3" xfId="1453"/>
    <cellStyle name="Number 4 3 2" xfId="1454"/>
    <cellStyle name="Number 4 4" xfId="1455"/>
    <cellStyle name="Number 5" xfId="158"/>
    <cellStyle name="Number 5 2" xfId="1456"/>
    <cellStyle name="Number 5 2 2" xfId="1457"/>
    <cellStyle name="Number 5 3" xfId="1458"/>
    <cellStyle name="Number 5 3 2" xfId="1459"/>
    <cellStyle name="Number 5 4" xfId="1460"/>
    <cellStyle name="Number 6" xfId="1461"/>
    <cellStyle name="Output 2" xfId="159"/>
    <cellStyle name="Output 2 2" xfId="1462"/>
    <cellStyle name="Output 2 2 2" xfId="1463"/>
    <cellStyle name="Output 2 3" xfId="1464"/>
    <cellStyle name="Output 3" xfId="160"/>
    <cellStyle name="Output 3 2" xfId="1465"/>
    <cellStyle name="Output 4" xfId="161"/>
    <cellStyle name="Output 4 2" xfId="1466"/>
    <cellStyle name="Output 5" xfId="1467"/>
    <cellStyle name="Output 5 2" xfId="1468"/>
    <cellStyle name="Output 6" xfId="1469"/>
    <cellStyle name="Output 7" xfId="1470"/>
    <cellStyle name="Output 8" xfId="1471"/>
    <cellStyle name="Output 9" xfId="1472"/>
    <cellStyle name="Percent [2]" xfId="162"/>
    <cellStyle name="Percent [2] 10" xfId="1473"/>
    <cellStyle name="Percent [2] 11" xfId="1474"/>
    <cellStyle name="Percent [2] 12" xfId="1475"/>
    <cellStyle name="Percent [2] 13" xfId="1476"/>
    <cellStyle name="Percent [2] 14" xfId="1477"/>
    <cellStyle name="Percent [2] 15" xfId="1478"/>
    <cellStyle name="Percent [2] 16" xfId="1479"/>
    <cellStyle name="Percent [2] 17" xfId="1480"/>
    <cellStyle name="Percent [2] 18" xfId="1481"/>
    <cellStyle name="Percent [2] 19" xfId="1482"/>
    <cellStyle name="Percent [2] 2" xfId="163"/>
    <cellStyle name="Percent [2] 2 10" xfId="1483"/>
    <cellStyle name="Percent [2] 2 11" xfId="1484"/>
    <cellStyle name="Percent [2] 2 12" xfId="1485"/>
    <cellStyle name="Percent [2] 2 13" xfId="1486"/>
    <cellStyle name="Percent [2] 2 14" xfId="1487"/>
    <cellStyle name="Percent [2] 2 15" xfId="1488"/>
    <cellStyle name="Percent [2] 2 16" xfId="1489"/>
    <cellStyle name="Percent [2] 2 17" xfId="1490"/>
    <cellStyle name="Percent [2] 2 2" xfId="1491"/>
    <cellStyle name="Percent [2] 2 3" xfId="1492"/>
    <cellStyle name="Percent [2] 2 4" xfId="1493"/>
    <cellStyle name="Percent [2] 2 5" xfId="1494"/>
    <cellStyle name="Percent [2] 2 6" xfId="1495"/>
    <cellStyle name="Percent [2] 2 7" xfId="1496"/>
    <cellStyle name="Percent [2] 2 8" xfId="1497"/>
    <cellStyle name="Percent [2] 2 9" xfId="1498"/>
    <cellStyle name="Percent [2] 20" xfId="1499"/>
    <cellStyle name="Percent [2] 21" xfId="1500"/>
    <cellStyle name="Percent [2] 22" xfId="1501"/>
    <cellStyle name="Percent [2] 3" xfId="164"/>
    <cellStyle name="Percent [2] 3 10" xfId="1502"/>
    <cellStyle name="Percent [2] 3 11" xfId="1503"/>
    <cellStyle name="Percent [2] 3 12" xfId="1504"/>
    <cellStyle name="Percent [2] 3 13" xfId="1505"/>
    <cellStyle name="Percent [2] 3 14" xfId="1506"/>
    <cellStyle name="Percent [2] 3 15" xfId="1507"/>
    <cellStyle name="Percent [2] 3 16" xfId="1508"/>
    <cellStyle name="Percent [2] 3 17" xfId="1509"/>
    <cellStyle name="Percent [2] 3 2" xfId="1510"/>
    <cellStyle name="Percent [2] 3 3" xfId="1511"/>
    <cellStyle name="Percent [2] 3 4" xfId="1512"/>
    <cellStyle name="Percent [2] 3 5" xfId="1513"/>
    <cellStyle name="Percent [2] 3 6" xfId="1514"/>
    <cellStyle name="Percent [2] 3 7" xfId="1515"/>
    <cellStyle name="Percent [2] 3 8" xfId="1516"/>
    <cellStyle name="Percent [2] 3 9" xfId="1517"/>
    <cellStyle name="Percent [2] 4" xfId="165"/>
    <cellStyle name="Percent [2] 4 10" xfId="1518"/>
    <cellStyle name="Percent [2] 4 11" xfId="1519"/>
    <cellStyle name="Percent [2] 4 12" xfId="1520"/>
    <cellStyle name="Percent [2] 4 13" xfId="1521"/>
    <cellStyle name="Percent [2] 4 14" xfId="1522"/>
    <cellStyle name="Percent [2] 4 15" xfId="1523"/>
    <cellStyle name="Percent [2] 4 16" xfId="1524"/>
    <cellStyle name="Percent [2] 4 17" xfId="1525"/>
    <cellStyle name="Percent [2] 4 2" xfId="1526"/>
    <cellStyle name="Percent [2] 4 3" xfId="1527"/>
    <cellStyle name="Percent [2] 4 4" xfId="1528"/>
    <cellStyle name="Percent [2] 4 5" xfId="1529"/>
    <cellStyle name="Percent [2] 4 6" xfId="1530"/>
    <cellStyle name="Percent [2] 4 7" xfId="1531"/>
    <cellStyle name="Percent [2] 4 8" xfId="1532"/>
    <cellStyle name="Percent [2] 4 9" xfId="1533"/>
    <cellStyle name="Percent [2] 5" xfId="166"/>
    <cellStyle name="Percent [2] 5 10" xfId="1534"/>
    <cellStyle name="Percent [2] 5 11" xfId="1535"/>
    <cellStyle name="Percent [2] 5 12" xfId="1536"/>
    <cellStyle name="Percent [2] 5 13" xfId="1537"/>
    <cellStyle name="Percent [2] 5 14" xfId="1538"/>
    <cellStyle name="Percent [2] 5 15" xfId="1539"/>
    <cellStyle name="Percent [2] 5 16" xfId="1540"/>
    <cellStyle name="Percent [2] 5 17" xfId="1541"/>
    <cellStyle name="Percent [2] 5 2" xfId="1542"/>
    <cellStyle name="Percent [2] 5 3" xfId="1543"/>
    <cellStyle name="Percent [2] 5 4" xfId="1544"/>
    <cellStyle name="Percent [2] 5 5" xfId="1545"/>
    <cellStyle name="Percent [2] 5 6" xfId="1546"/>
    <cellStyle name="Percent [2] 5 7" xfId="1547"/>
    <cellStyle name="Percent [2] 5 8" xfId="1548"/>
    <cellStyle name="Percent [2] 5 9" xfId="1549"/>
    <cellStyle name="Percent [2] 6" xfId="167"/>
    <cellStyle name="Percent [2] 7" xfId="1550"/>
    <cellStyle name="Percent [2] 8" xfId="1551"/>
    <cellStyle name="Percent [2] 9" xfId="1552"/>
    <cellStyle name="Percent 2" xfId="1553"/>
    <cellStyle name="Ref Numbers" xfId="168"/>
    <cellStyle name="Ref Numbers 2" xfId="169"/>
    <cellStyle name="Ref Numbers 2 2" xfId="1554"/>
    <cellStyle name="Ref Numbers 2 3" xfId="1555"/>
    <cellStyle name="Ref Numbers 3" xfId="170"/>
    <cellStyle name="Ref Numbers 3 2" xfId="1556"/>
    <cellStyle name="Ref Numbers 3 3" xfId="1557"/>
    <cellStyle name="Ref Numbers 4" xfId="171"/>
    <cellStyle name="Ref Numbers 4 2" xfId="1558"/>
    <cellStyle name="Ref Numbers 4 3" xfId="1559"/>
    <cellStyle name="Ref Numbers 5" xfId="172"/>
    <cellStyle name="Ref Numbers 5 2" xfId="1560"/>
    <cellStyle name="Ref Numbers 5 3" xfId="1561"/>
    <cellStyle name="Sheet Title" xfId="1562"/>
    <cellStyle name="Source Line" xfId="173"/>
    <cellStyle name="Source Line 2" xfId="174"/>
    <cellStyle name="Source Line 3" xfId="175"/>
    <cellStyle name="Source Line 4" xfId="176"/>
    <cellStyle name="Source Line 5" xfId="177"/>
    <cellStyle name="Source Line 6" xfId="1563"/>
    <cellStyle name="Source Line 7" xfId="1564"/>
    <cellStyle name="Source Line_New VM - Sizing (Ex1b)" xfId="178"/>
    <cellStyle name="Style 1" xfId="179"/>
    <cellStyle name="subhead" xfId="180"/>
    <cellStyle name="Table Heading" xfId="181"/>
    <cellStyle name="Table Heading 2" xfId="182"/>
    <cellStyle name="Table Heading 2 2" xfId="1565"/>
    <cellStyle name="Table Heading 2 3" xfId="1566"/>
    <cellStyle name="Table Heading 3" xfId="183"/>
    <cellStyle name="Table Heading 3 2" xfId="1567"/>
    <cellStyle name="Table Heading 3 3" xfId="1568"/>
    <cellStyle name="Table Heading 4" xfId="184"/>
    <cellStyle name="Table Heading 4 2" xfId="1569"/>
    <cellStyle name="Table Heading 4 3" xfId="1570"/>
    <cellStyle name="Table Heading 5" xfId="185"/>
    <cellStyle name="Table Heading 5 2" xfId="1571"/>
    <cellStyle name="Table Heading 5 3" xfId="1572"/>
    <cellStyle name="Title 2" xfId="186"/>
    <cellStyle name="Title 3" xfId="187"/>
    <cellStyle name="Title 4" xfId="188"/>
    <cellStyle name="Title Line" xfId="189"/>
    <cellStyle name="Title Line 2" xfId="190"/>
    <cellStyle name="Title Line 2 2" xfId="1573"/>
    <cellStyle name="Title Line 2 3" xfId="1574"/>
    <cellStyle name="Title Line 3" xfId="191"/>
    <cellStyle name="Title Line 3 2" xfId="1575"/>
    <cellStyle name="Title Line 3 3" xfId="1576"/>
    <cellStyle name="Title Line 4" xfId="192"/>
    <cellStyle name="Title Line 4 2" xfId="1577"/>
    <cellStyle name="Title Line 4 3" xfId="1578"/>
    <cellStyle name="Title Line 5" xfId="193"/>
    <cellStyle name="Title Line 5 2" xfId="1579"/>
    <cellStyle name="Title Line 5 3" xfId="1580"/>
    <cellStyle name="Top Row" xfId="194"/>
    <cellStyle name="Top Row 2" xfId="195"/>
    <cellStyle name="Top Row 2 2" xfId="1581"/>
    <cellStyle name="Top Row 2 2 2" xfId="1582"/>
    <cellStyle name="Top Row 2 3" xfId="1583"/>
    <cellStyle name="Top Row 2 3 2" xfId="1584"/>
    <cellStyle name="Top Row 2 4" xfId="1585"/>
    <cellStyle name="Top Row 3" xfId="196"/>
    <cellStyle name="Top Row 3 2" xfId="1586"/>
    <cellStyle name="Top Row 3 2 2" xfId="1587"/>
    <cellStyle name="Top Row 3 3" xfId="1588"/>
    <cellStyle name="Top Row 3 3 2" xfId="1589"/>
    <cellStyle name="Top Row 3 4" xfId="1590"/>
    <cellStyle name="Top Row 4" xfId="197"/>
    <cellStyle name="Top Row 4 2" xfId="1591"/>
    <cellStyle name="Top Row 4 2 2" xfId="1592"/>
    <cellStyle name="Top Row 4 3" xfId="1593"/>
    <cellStyle name="Top Row 4 3 2" xfId="1594"/>
    <cellStyle name="Top Row 4 4" xfId="1595"/>
    <cellStyle name="Top Row 5" xfId="198"/>
    <cellStyle name="Top Row 5 2" xfId="1596"/>
    <cellStyle name="Top Row 5 2 2" xfId="1597"/>
    <cellStyle name="Top Row 5 3" xfId="1598"/>
    <cellStyle name="Top Row 5 3 2" xfId="1599"/>
    <cellStyle name="Top Row 5 4" xfId="1600"/>
    <cellStyle name="Top Row 6" xfId="1601"/>
    <cellStyle name="Total 2" xfId="199"/>
    <cellStyle name="Total 2 2" xfId="1602"/>
    <cellStyle name="Total 2 2 2" xfId="1603"/>
    <cellStyle name="Total 2 3" xfId="1604"/>
    <cellStyle name="Total 3" xfId="200"/>
    <cellStyle name="Total 3 2" xfId="1605"/>
    <cellStyle name="Total 4" xfId="201"/>
    <cellStyle name="Total 4 2" xfId="1606"/>
    <cellStyle name="Total 5" xfId="1607"/>
    <cellStyle name="Total 5 2" xfId="1608"/>
    <cellStyle name="Total 6" xfId="1609"/>
    <cellStyle name="Total 7" xfId="1610"/>
    <cellStyle name="Total 8" xfId="1611"/>
    <cellStyle name="Total 9" xfId="1612"/>
    <cellStyle name="Total Row" xfId="202"/>
    <cellStyle name="Total Row 2" xfId="203"/>
    <cellStyle name="Total Row 2 2" xfId="1613"/>
    <cellStyle name="Total Row 2 3" xfId="1614"/>
    <cellStyle name="Total Row 3" xfId="204"/>
    <cellStyle name="Total Row 3 2" xfId="1615"/>
    <cellStyle name="Total Row 3 3" xfId="1616"/>
    <cellStyle name="Total Row 4" xfId="205"/>
    <cellStyle name="Total Row 4 2" xfId="1617"/>
    <cellStyle name="Total Row 4 3" xfId="1618"/>
    <cellStyle name="Total Row 5" xfId="206"/>
    <cellStyle name="Total Row 5 2" xfId="1619"/>
    <cellStyle name="Total Row 5 3" xfId="1620"/>
    <cellStyle name="Tusental (0)_laroux" xfId="207"/>
    <cellStyle name="Tusental_laroux" xfId="208"/>
    <cellStyle name="Valuta (0)_laroux" xfId="209"/>
    <cellStyle name="Valuta_laroux" xfId="210"/>
    <cellStyle name="Währung [0]_laroux" xfId="211"/>
    <cellStyle name="Währung_laroux" xfId="212"/>
    <cellStyle name="Warning Text 2" xfId="213"/>
    <cellStyle name="Warning Text 3" xfId="214"/>
    <cellStyle name="Warning Text 4" xfId="215"/>
    <cellStyle name="Warning Text 5" xfId="1621"/>
    <cellStyle name="Warning Text 6" xfId="1622"/>
    <cellStyle name="Warning Text 7" xfId="1623"/>
    <cellStyle name="Warning Text 8" xfId="1624"/>
    <cellStyle name="Warning Text 9" xfId="1625"/>
  </cellStyles>
  <dxfs count="196"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rgb="FFFFFFFF"/>
        </top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rgb="FFFFFFFF"/>
        </top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none">
          <fgColor rgb="FF000000"/>
          <bgColor rgb="FFFFFFFF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rgb="FFFFFFFF"/>
        </top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rgb="FFFFFFFF"/>
        </top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none">
          <fgColor rgb="FF000000"/>
          <bgColor rgb="FFFFFFFF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rgb="FFFFFFFF"/>
        </top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rgb="FFFFFFFF"/>
        </top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none">
          <fgColor rgb="FF000000"/>
          <bgColor rgb="FFFFFFFF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theme="0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>
          <bgColor rgb="FFFFFF00"/>
        </patternFill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85725</xdr:colOff>
      <xdr:row>36</xdr:row>
      <xdr:rowOff>37846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98FA8E9-B96B-473D-A61A-D3B2B2B3C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620375" cy="880084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usdsnas03.aus.amer.dell.com\cloudedge_solns$\00_EDT-AES\Processes\VMWARE\test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NDY_perryman/Desktop/1.%20In%20Progress/Network/Network-Worksheets-BLAC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Validation"/>
      <sheetName val="SCRF"/>
      <sheetName val="Contact"/>
      <sheetName val="Names"/>
      <sheetName val="New VM - Sizing (Example)"/>
      <sheetName val="Storage"/>
      <sheetName val="Software"/>
      <sheetName val="Vol Layout (1)"/>
      <sheetName val="Vol Access (1)"/>
      <sheetName val="CLUSTER (1)"/>
      <sheetName val="iSCSI"/>
      <sheetName val="Topology"/>
      <sheetName val="Exchange (needs re-work)"/>
      <sheetName val="Support (1)"/>
      <sheetName val="MSSQL (needs re-work)"/>
      <sheetName val="Oracle (needs re-work)"/>
      <sheetName val="Oracle EMGridControl"/>
      <sheetName val="ML &amp; TL Tape Config (re-work)"/>
      <sheetName val="PV Tape Config (needs re-work)"/>
      <sheetName val="Issues"/>
      <sheetName val="Revision (0.0.0)"/>
      <sheetName val="Usable"/>
    </sheetNames>
    <sheetDataSet>
      <sheetData sheetId="0" refreshError="1"/>
      <sheetData sheetId="1" refreshError="1"/>
      <sheetData sheetId="2" refreshError="1"/>
      <sheetData sheetId="3">
        <row r="100">
          <cell r="C100" t="str">
            <v xml:space="preserve">Anil Shukla </v>
          </cell>
        </row>
      </sheetData>
      <sheetData sheetId="4">
        <row r="2">
          <cell r="N2" t="str">
            <v>10.50.1.5</v>
          </cell>
        </row>
        <row r="37">
          <cell r="B37" t="str">
            <v>GROUP1</v>
          </cell>
        </row>
      </sheetData>
      <sheetData sheetId="5" refreshError="1"/>
      <sheetData sheetId="6" refreshError="1"/>
      <sheetData sheetId="7" refreshError="1"/>
      <sheetData sheetId="8" refreshError="1"/>
      <sheetData sheetId="9">
        <row r="50002">
          <cell r="B50002" t="str">
            <v>GROUP1</v>
          </cell>
        </row>
      </sheetData>
      <sheetData sheetId="10">
        <row r="50002">
          <cell r="B50002" t="str">
            <v>GROUP1</v>
          </cell>
        </row>
      </sheetData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>
        <row r="1">
          <cell r="N1">
            <v>1.0007879215380229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pology"/>
      <sheetName val="RHOSP Inventory"/>
      <sheetName val="Logical Layout"/>
      <sheetName val="General Configuration"/>
      <sheetName val="Dell Networking S3048"/>
      <sheetName val="Dell Networking S4048-1"/>
      <sheetName val="ScratchPad-1"/>
      <sheetName val="Config-Switch1"/>
      <sheetName val="Dell Networking S4048-2"/>
      <sheetName val="ScratchPad-2"/>
      <sheetName val="Config-Switch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6">
          <cell r="AE16">
            <v>100</v>
          </cell>
        </row>
      </sheetData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id="3" name="Table6" displayName="Table6" ref="S3:S9" totalsRowShown="0" headerRowDxfId="182" dataDxfId="181">
  <autoFilter ref="S3:S9"/>
  <tableColumns count="1">
    <tableColumn id="1" name="Spanning-Tree Protocols" dataDxfId="18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4" name="Table8" displayName="Table8" ref="U3:U20" totalsRowShown="0" headerRowDxfId="179" dataDxfId="178">
  <autoFilter ref="U3:U20"/>
  <tableColumns count="1">
    <tableColumn id="1" name="STP Priorities" dataDxfId="177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5" name="Table610" displayName="Table610" ref="W3:W8" totalsRowShown="0" headerRowDxfId="176" dataDxfId="175">
  <autoFilter ref="W3:W8"/>
  <tableColumns count="1">
    <tableColumn id="1" name="Timezone" dataDxfId="174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id="6" name="Table61013" displayName="Table61013" ref="Y3:Y6" totalsRowShown="0" headerRowDxfId="173" dataDxfId="172">
  <autoFilter ref="Y3:Y6"/>
  <tableColumns count="1">
    <tableColumn id="1" name="SNMP Version" dataDxfId="171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id="7" name="Table15" displayName="Table15" ref="AA3:AA5" totalsRowShown="0" headerRowDxfId="170" dataDxfId="169">
  <autoFilter ref="AA3:AA5"/>
  <tableColumns count="1">
    <tableColumn id="1" name="SNMP Permission" dataDxfId="168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id="8" name="Table16" displayName="Table16" ref="AC3:AC27" totalsRowShown="0" headerRowDxfId="167" dataDxfId="166">
  <autoFilter ref="AC3:AC27"/>
  <tableColumns count="1">
    <tableColumn id="1" name="Syslog Facility" dataDxfId="165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id="144" name="Table144" displayName="Table144" ref="G3:G9" totalsRowShown="0" headerRowDxfId="164" dataDxfId="163">
  <autoFilter ref="G3:G9"/>
  <tableColumns count="1">
    <tableColumn id="1" name="LoGigabitEthernetn Methods" dataDxfId="162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id="176" name="Table144177" displayName="Table144177" ref="I3:I8" totalsRowShown="0" headerRowDxfId="161" dataDxfId="160">
  <autoFilter ref="I3:I8"/>
  <tableColumns count="1">
    <tableColumn id="1" name="Enable Methods" dataDxfId="159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id="177" name="Table144177178" displayName="Table144177178" ref="K3:K8" totalsRowShown="0" headerRowDxfId="158" dataDxfId="157">
  <autoFilter ref="K3:K8"/>
  <tableColumns count="1">
    <tableColumn id="1" name="Exec Methods" dataDxfId="156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id="178" name="Table144177178179" displayName="Table144177178179" ref="M3:M6" totalsRowShown="0" headerRowDxfId="155" dataDxfId="154">
  <autoFilter ref="M3:M6"/>
  <tableColumns count="1">
    <tableColumn id="1" name="Commands Methods" dataDxfId="153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id="179" name="Table144177178179180" displayName="Table144177178179180" ref="O3:O5" totalsRowShown="0" headerRowDxfId="152" dataDxfId="151">
  <autoFilter ref="O3:O5"/>
  <tableColumns count="1">
    <tableColumn id="1" name="Config-Commands" dataDxfId="150"/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id="188" name="Table144177178179180189" displayName="Table144177178179180189" ref="Q3:Q4" totalsRowShown="0" headerRowDxfId="149" dataDxfId="148">
  <autoFilter ref="Q3:Q4"/>
  <tableColumns count="1">
    <tableColumn id="1" name="Accounting" dataDxfId="147"/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id="24" name="Table2125" displayName="Table2125" ref="N3:R12" totalsRowShown="0" headerRowDxfId="146" dataDxfId="145">
  <autoFilter ref="N3:R12"/>
  <tableColumns count="5">
    <tableColumn id="1" name="Network" dataDxfId="144"/>
    <tableColumn id="2" name="SAH" dataDxfId="143"/>
    <tableColumn id="3" name="OpenStack Controller" dataDxfId="142"/>
    <tableColumn id="4" name="OpenStack Compute" dataDxfId="141"/>
    <tableColumn id="5" name="Red Hat Ceph Storage" dataDxfId="140"/>
  </tableColumns>
  <tableStyleInfo name="TableStyleLight16" showFirstColumn="1" showLastColumn="0" showRowStripes="0" showColumnStripes="1"/>
</table>
</file>

<file path=xl/tables/table14.xml><?xml version="1.0" encoding="utf-8"?>
<table xmlns="http://schemas.openxmlformats.org/spreadsheetml/2006/main" id="22" name="Table3710" displayName="Table3710" ref="N19:Q28" totalsRowShown="0" headerRowDxfId="139" dataDxfId="138" tableBorderDxfId="137">
  <autoFilter ref="N19:Q28"/>
  <tableColumns count="4">
    <tableColumn id="1" name="ID" dataDxfId="136"/>
    <tableColumn id="2" name="Description" dataDxfId="135"/>
    <tableColumn id="3" name="Column1" dataDxfId="134"/>
    <tableColumn id="4" name="Column2" dataDxfId="133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43" name="Table222144" displayName="Table222144" ref="E4:O57" headerRowCount="0" totalsRowShown="0" headerRowDxfId="120" dataDxfId="119">
  <tableColumns count="11">
    <tableColumn id="1" name="Name" headerRowDxfId="118" dataDxfId="117"/>
    <tableColumn id="5" name="Connector" headerRowDxfId="116" dataDxfId="115"/>
    <tableColumn id="2" name="Device Name" headerRowDxfId="114" dataDxfId="113"/>
    <tableColumn id="3" name="Port" headerRowDxfId="112" dataDxfId="111"/>
    <tableColumn id="14" name="110" headerRowDxfId="110" dataDxfId="109"/>
    <tableColumn id="11" name="Port State" headerRowDxfId="108" dataDxfId="107"/>
    <tableColumn id="10" name="STP Port Type" headerRowDxfId="106" dataDxfId="105"/>
    <tableColumn id="9" name="MTU" headerRowDxfId="104" dataDxfId="103"/>
    <tableColumn id="12" name="Flowcontrol" headerRowDxfId="102" dataDxfId="101"/>
    <tableColumn id="6" name="#" headerRowDxfId="100" dataDxfId="99"/>
    <tableColumn id="7" name="Mode" headerRowDxfId="98" dataDxfId="97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12" name="Table29521013" displayName="Table29521013" ref="Q31:S39" totalsRowShown="0" headerRowDxfId="96" dataDxfId="95">
  <autoFilter ref="Q31:S39"/>
  <tableColumns count="3">
    <tableColumn id="1" name="Interface" dataDxfId="94"/>
    <tableColumn id="2" name="IP /Netmask" dataDxfId="93"/>
    <tableColumn id="3" name="Required?" dataDxfId="92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13" name="Table30531114" displayName="Table30531114" ref="Q42:S45" totalsRowShown="0" headerRowDxfId="91" dataDxfId="90" tableBorderDxfId="89">
  <autoFilter ref="Q42:S45"/>
  <tableColumns count="3">
    <tableColumn id="1" name="Destination" dataDxfId="88"/>
    <tableColumn id="2" name="Next Hop" dataDxfId="87"/>
    <tableColumn id="3" name="Required?" dataDxfId="86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14" name="Table37591215" displayName="Table37591215" ref="Q21:S29" totalsRowShown="0" headerRowDxfId="85" dataDxfId="84" tableBorderDxfId="83">
  <autoFilter ref="Q21:S29"/>
  <tableColumns count="3">
    <tableColumn id="1" name="ID" dataDxfId="82"/>
    <tableColumn id="2" name="Description" dataDxfId="81"/>
    <tableColumn id="3" name="Required?" dataDxfId="80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9" name="Table222132102310" displayName="Table222132102310" ref="B3:V133" totalsRowShown="0" headerRowDxfId="79" dataDxfId="78">
  <autoFilter ref="B3:V133">
    <filterColumn colId="0">
      <customFilters>
        <customFilter operator="notEqual" val="0"/>
      </customFilters>
    </filterColumn>
  </autoFilter>
  <tableColumns count="21">
    <tableColumn id="1" name="Name" dataDxfId="77"/>
    <tableColumn id="5" name="Connector" dataDxfId="76"/>
    <tableColumn id="2" name="Device Name" dataDxfId="75"/>
    <tableColumn id="3" name="Port" dataDxfId="74"/>
    <tableColumn id="18" name="OOB" dataDxfId="73"/>
    <tableColumn id="19" name="Provisioner" dataDxfId="72"/>
    <tableColumn id="20" name="Private API" dataDxfId="71"/>
    <tableColumn id="21" name="Storage Network" dataDxfId="70"/>
    <tableColumn id="22" name="Ceph Storage Cluster Vlan" dataDxfId="69"/>
    <tableColumn id="16" name="Public API Network" dataDxfId="68"/>
    <tableColumn id="17" name="External Network for Tenants (floating IP)" dataDxfId="67"/>
    <tableColumn id="15" name="Tenant Network" dataDxfId="66"/>
    <tableColumn id="23" name="Tenant Network End" dataDxfId="65"/>
    <tableColumn id="14" name="Tenant Tunnel Network" dataDxfId="64"/>
    <tableColumn id="9" name="Bond#" dataDxfId="63"/>
    <tableColumn id="12" name="Port State" dataDxfId="62"/>
    <tableColumn id="11" name="STP Port Type" dataDxfId="61"/>
    <tableColumn id="13" name="MTU" dataDxfId="60"/>
    <tableColumn id="10" name="Flow Control" dataDxfId="59"/>
    <tableColumn id="6" name="#" dataDxfId="58"/>
    <tableColumn id="7" name="Mode" dataDxfId="57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10" name="Table2952101311" displayName="Table2952101311" ref="X33:Z41" totalsRowShown="0" headerRowDxfId="56" dataDxfId="55">
  <autoFilter ref="X33:Z41"/>
  <tableColumns count="3">
    <tableColumn id="1" name="Interface" dataDxfId="54"/>
    <tableColumn id="2" name="IP /Netmask" dataDxfId="53"/>
    <tableColumn id="3" name="Required?" dataDxfId="52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11" name="Table3053111412" displayName="Table3053111412" ref="X44:Z47" totalsRowShown="0" headerRowDxfId="51" dataDxfId="50" tableBorderDxfId="49">
  <autoFilter ref="X44:Z47"/>
  <tableColumns count="3">
    <tableColumn id="1" name="Destination" dataDxfId="48"/>
    <tableColumn id="2" name="Next Hop" dataDxfId="47"/>
    <tableColumn id="3" name="Required?" dataDxfId="46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15" name="Table3759121516" displayName="Table3759121516" ref="X23:Z31" totalsRowShown="0" headerRowDxfId="45" dataDxfId="44" tableBorderDxfId="43">
  <autoFilter ref="X23:Z31"/>
  <tableColumns count="3">
    <tableColumn id="1" name="ID" dataDxfId="42"/>
    <tableColumn id="2" name="Description" dataDxfId="41"/>
    <tableColumn id="3" name="Required?" dataDxfId="40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2" name="Table2221321023" displayName="Table2221321023" ref="B3:V133" totalsRowShown="0" headerRowDxfId="39" dataDxfId="38">
  <autoFilter ref="B3:V133">
    <filterColumn colId="0">
      <customFilters>
        <customFilter operator="notEqual" val="0"/>
      </customFilters>
    </filterColumn>
  </autoFilter>
  <tableColumns count="21">
    <tableColumn id="1" name="Name" dataDxfId="37"/>
    <tableColumn id="5" name="Connector" dataDxfId="36"/>
    <tableColumn id="2" name="Device Name" dataDxfId="35"/>
    <tableColumn id="3" name="Port" dataDxfId="34"/>
    <tableColumn id="18" name="OOB" dataDxfId="33"/>
    <tableColumn id="19" name="Provisioner" dataDxfId="32"/>
    <tableColumn id="20" name="Private API" dataDxfId="31"/>
    <tableColumn id="21" name="Storage Network" dataDxfId="30"/>
    <tableColumn id="22" name="Ceph Storage Cluster Vlan" dataDxfId="29"/>
    <tableColumn id="16" name="Public API Network" dataDxfId="28"/>
    <tableColumn id="17" name="External Network for Tenants (floating IP)" dataDxfId="27"/>
    <tableColumn id="15" name="Tenant Network" dataDxfId="26"/>
    <tableColumn id="23" name="Tenant Network End" dataDxfId="25"/>
    <tableColumn id="14" name="Tenant Tunnel Network" dataDxfId="24"/>
    <tableColumn id="9" name="Bond#" dataDxfId="23"/>
    <tableColumn id="12" name="Port State" dataDxfId="22"/>
    <tableColumn id="11" name="STP Port Type" dataDxfId="21"/>
    <tableColumn id="13" name="MTU" dataDxfId="20"/>
    <tableColumn id="10" name="Flow Control" dataDxfId="19"/>
    <tableColumn id="6" name="#" dataDxfId="18"/>
    <tableColumn id="7" name="Mode" dataDxfId="17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16" name="Table295210131117" displayName="Table295210131117" ref="X33:Z41" totalsRowShown="0" headerRowDxfId="16" dataDxfId="15">
  <autoFilter ref="X33:Z41"/>
  <tableColumns count="3">
    <tableColumn id="1" name="Interface" dataDxfId="14"/>
    <tableColumn id="2" name="IP /Netmask" dataDxfId="13"/>
    <tableColumn id="3" name="Required?" dataDxfId="12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id="17" name="Table305311141218" displayName="Table305311141218" ref="X44:Z47" totalsRowShown="0" headerRowDxfId="11" dataDxfId="10" tableBorderDxfId="9">
  <autoFilter ref="X44:Z47"/>
  <tableColumns count="3">
    <tableColumn id="1" name="Destination" dataDxfId="8"/>
    <tableColumn id="2" name="Next Hop" dataDxfId="7"/>
    <tableColumn id="3" name="Required?" dataDxfId="6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id="18" name="Table375912151619" displayName="Table375912151619" ref="X23:Z31" totalsRowShown="0" headerRowDxfId="5" dataDxfId="4" tableBorderDxfId="3">
  <autoFilter ref="X23:Z31"/>
  <tableColumns count="3">
    <tableColumn id="1" name="ID" dataDxfId="2"/>
    <tableColumn id="2" name="Description" dataDxfId="1"/>
    <tableColumn id="3" name="Required?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AC75"/>
  <sheetViews>
    <sheetView zoomScale="85" zoomScaleNormal="85" workbookViewId="0">
      <selection activeCell="A2" sqref="A2:F2"/>
    </sheetView>
  </sheetViews>
  <sheetFormatPr defaultRowHeight="15" x14ac:dyDescent="0.25"/>
  <cols>
    <col min="1" max="1" width="9.140625" customWidth="1"/>
    <col min="2" max="2" width="35.5703125" bestFit="1" customWidth="1"/>
    <col min="3" max="3" width="29.140625" customWidth="1"/>
    <col min="4" max="4" width="9.5703125" bestFit="1" customWidth="1"/>
    <col min="5" max="5" width="42.5703125" customWidth="1"/>
    <col min="6" max="6" width="16.5703125" customWidth="1"/>
    <col min="7" max="7" width="16.5703125" hidden="1" customWidth="1"/>
    <col min="8" max="8" width="9.140625" hidden="1" customWidth="1"/>
    <col min="9" max="9" width="18.85546875" hidden="1" customWidth="1"/>
    <col min="10" max="10" width="9.140625" hidden="1" customWidth="1"/>
    <col min="11" max="11" width="18.140625" hidden="1" customWidth="1"/>
    <col min="12" max="12" width="9.140625" hidden="1" customWidth="1"/>
    <col min="13" max="13" width="24.140625" hidden="1" customWidth="1"/>
    <col min="14" max="14" width="9.140625" hidden="1" customWidth="1"/>
    <col min="15" max="15" width="22.140625" hidden="1" customWidth="1"/>
    <col min="16" max="16" width="9.140625" hidden="1" customWidth="1"/>
    <col min="17" max="17" width="22.140625" hidden="1" customWidth="1"/>
    <col min="18" max="18" width="9.140625" hidden="1" customWidth="1"/>
    <col min="19" max="19" width="26" hidden="1" customWidth="1"/>
    <col min="20" max="20" width="9.140625" hidden="1" customWidth="1"/>
    <col min="21" max="21" width="17.140625" hidden="1" customWidth="1"/>
    <col min="22" max="22" width="9.140625" hidden="1" customWidth="1"/>
    <col min="23" max="23" width="15.42578125" hidden="1" customWidth="1"/>
    <col min="24" max="24" width="9.140625" hidden="1" customWidth="1"/>
    <col min="25" max="25" width="18.42578125" hidden="1" customWidth="1"/>
    <col min="26" max="26" width="9.140625" hidden="1" customWidth="1"/>
    <col min="27" max="27" width="21.42578125" hidden="1" customWidth="1"/>
    <col min="28" max="28" width="9.140625" hidden="1" customWidth="1"/>
    <col min="29" max="29" width="18.42578125" hidden="1" customWidth="1"/>
  </cols>
  <sheetData>
    <row r="1" spans="1:29" x14ac:dyDescent="0.25">
      <c r="A1" s="1"/>
      <c r="B1" s="2"/>
      <c r="C1" s="2"/>
      <c r="D1" s="37"/>
      <c r="E1" s="4"/>
      <c r="F1" s="5"/>
    </row>
    <row r="2" spans="1:29" ht="18.75" x14ac:dyDescent="0.3">
      <c r="A2" s="136" t="s">
        <v>31</v>
      </c>
      <c r="B2" s="137"/>
      <c r="C2" s="137"/>
      <c r="D2" s="137"/>
      <c r="E2" s="137"/>
      <c r="F2" s="138"/>
    </row>
    <row r="3" spans="1:29" ht="15.75" thickBot="1" x14ac:dyDescent="0.3">
      <c r="A3" s="3"/>
      <c r="B3" s="4"/>
      <c r="C3" s="4"/>
      <c r="D3" s="4"/>
      <c r="E3" s="4"/>
      <c r="F3" s="5"/>
      <c r="G3" s="10" t="s">
        <v>323</v>
      </c>
      <c r="I3" s="10" t="s">
        <v>100</v>
      </c>
      <c r="K3" s="10" t="s">
        <v>106</v>
      </c>
      <c r="M3" s="10" t="s">
        <v>108</v>
      </c>
      <c r="O3" s="10" t="s">
        <v>117</v>
      </c>
      <c r="Q3" s="10" t="s">
        <v>121</v>
      </c>
      <c r="S3" s="10" t="s">
        <v>32</v>
      </c>
      <c r="U3" s="10" t="s">
        <v>6</v>
      </c>
      <c r="W3" s="10" t="s">
        <v>33</v>
      </c>
      <c r="Y3" s="10" t="s">
        <v>34</v>
      </c>
      <c r="AA3" s="10" t="s">
        <v>35</v>
      </c>
      <c r="AC3" s="10" t="s">
        <v>36</v>
      </c>
    </row>
    <row r="4" spans="1:29" ht="15.75" thickBot="1" x14ac:dyDescent="0.3">
      <c r="A4" s="3"/>
      <c r="B4" s="134" t="s">
        <v>37</v>
      </c>
      <c r="C4" s="135"/>
      <c r="D4" s="4"/>
      <c r="E4" s="38" t="s">
        <v>148</v>
      </c>
      <c r="F4" s="39" t="s">
        <v>149</v>
      </c>
      <c r="G4" s="10" t="s">
        <v>101</v>
      </c>
      <c r="I4" s="10" t="s">
        <v>101</v>
      </c>
      <c r="K4" s="10" t="s">
        <v>107</v>
      </c>
      <c r="M4" s="10" t="s">
        <v>103</v>
      </c>
      <c r="O4" s="10" t="s">
        <v>118</v>
      </c>
      <c r="Q4" s="10" t="s">
        <v>105</v>
      </c>
      <c r="S4" s="10" t="s">
        <v>40</v>
      </c>
      <c r="U4" s="10" t="s">
        <v>96</v>
      </c>
      <c r="W4" s="10" t="s">
        <v>90</v>
      </c>
      <c r="Y4" s="10">
        <v>1</v>
      </c>
      <c r="AA4" s="10" t="s">
        <v>38</v>
      </c>
      <c r="AC4" s="10" t="s">
        <v>39</v>
      </c>
    </row>
    <row r="5" spans="1:29" x14ac:dyDescent="0.25">
      <c r="A5" s="3"/>
      <c r="B5" s="14" t="s">
        <v>128</v>
      </c>
      <c r="C5" s="24"/>
      <c r="D5" s="4"/>
      <c r="E5" s="41" t="s">
        <v>136</v>
      </c>
      <c r="F5" s="46">
        <v>110</v>
      </c>
      <c r="G5" s="10" t="s">
        <v>102</v>
      </c>
      <c r="I5" s="10" t="s">
        <v>102</v>
      </c>
      <c r="K5" s="10" t="s">
        <v>103</v>
      </c>
      <c r="M5" s="10" t="s">
        <v>50</v>
      </c>
      <c r="O5" s="10" t="s">
        <v>99</v>
      </c>
      <c r="S5" s="10" t="s">
        <v>44</v>
      </c>
      <c r="U5" s="10">
        <v>0</v>
      </c>
      <c r="W5" s="10" t="s">
        <v>91</v>
      </c>
      <c r="Y5" s="10" t="s">
        <v>41</v>
      </c>
      <c r="AA5" s="10" t="s">
        <v>42</v>
      </c>
      <c r="AC5" s="10" t="s">
        <v>43</v>
      </c>
    </row>
    <row r="6" spans="1:29" x14ac:dyDescent="0.25">
      <c r="A6" s="3"/>
      <c r="B6" s="15" t="s">
        <v>129</v>
      </c>
      <c r="C6" s="23"/>
      <c r="D6" s="4"/>
      <c r="E6" s="42" t="s">
        <v>137</v>
      </c>
      <c r="F6" s="46">
        <v>120</v>
      </c>
      <c r="G6" s="10" t="s">
        <v>103</v>
      </c>
      <c r="I6" s="10" t="s">
        <v>50</v>
      </c>
      <c r="K6" s="10" t="s">
        <v>50</v>
      </c>
      <c r="M6" s="10" t="s">
        <v>105</v>
      </c>
      <c r="S6" s="10" t="s">
        <v>46</v>
      </c>
      <c r="U6" s="10">
        <v>4096</v>
      </c>
      <c r="W6" s="10" t="s">
        <v>92</v>
      </c>
      <c r="Y6" s="10">
        <v>3</v>
      </c>
      <c r="AC6" s="10" t="s">
        <v>45</v>
      </c>
    </row>
    <row r="7" spans="1:29" x14ac:dyDescent="0.25">
      <c r="A7" s="3"/>
      <c r="B7" s="19" t="s">
        <v>130</v>
      </c>
      <c r="C7" s="25"/>
      <c r="D7" s="4"/>
      <c r="E7" s="41" t="s">
        <v>138</v>
      </c>
      <c r="F7" s="46">
        <v>140</v>
      </c>
      <c r="G7" s="10" t="s">
        <v>50</v>
      </c>
      <c r="I7" s="10" t="s">
        <v>104</v>
      </c>
      <c r="K7" s="10" t="s">
        <v>104</v>
      </c>
      <c r="S7" s="10" t="s">
        <v>127</v>
      </c>
      <c r="U7" s="10">
        <v>8192</v>
      </c>
      <c r="W7" s="10" t="s">
        <v>93</v>
      </c>
      <c r="Y7" s="10"/>
      <c r="AC7" s="10" t="s">
        <v>47</v>
      </c>
    </row>
    <row r="8" spans="1:29" x14ac:dyDescent="0.25">
      <c r="A8" s="3"/>
      <c r="B8" s="15" t="s">
        <v>131</v>
      </c>
      <c r="C8" s="23"/>
      <c r="D8" s="4"/>
      <c r="E8" s="42" t="s">
        <v>142</v>
      </c>
      <c r="F8" s="46">
        <v>170</v>
      </c>
      <c r="G8" s="10" t="s">
        <v>104</v>
      </c>
      <c r="I8" s="10" t="s">
        <v>105</v>
      </c>
      <c r="K8" s="10" t="s">
        <v>105</v>
      </c>
      <c r="S8" s="10" t="s">
        <v>126</v>
      </c>
      <c r="U8" s="10">
        <v>12288</v>
      </c>
      <c r="W8" s="10" t="s">
        <v>48</v>
      </c>
      <c r="Y8" s="10"/>
      <c r="AC8" s="10" t="s">
        <v>49</v>
      </c>
    </row>
    <row r="9" spans="1:29" x14ac:dyDescent="0.25">
      <c r="A9" s="3"/>
      <c r="B9" s="11"/>
      <c r="C9" s="11"/>
      <c r="D9" s="4"/>
      <c r="E9" s="41" t="s">
        <v>150</v>
      </c>
      <c r="F9" s="46">
        <v>180</v>
      </c>
      <c r="G9" s="10" t="s">
        <v>105</v>
      </c>
      <c r="S9" s="10" t="s">
        <v>50</v>
      </c>
      <c r="U9" s="10">
        <v>16384</v>
      </c>
      <c r="W9" s="10"/>
      <c r="AC9" s="10" t="s">
        <v>51</v>
      </c>
    </row>
    <row r="10" spans="1:29" ht="15.75" thickBot="1" x14ac:dyDescent="0.3">
      <c r="A10" s="3"/>
      <c r="B10" s="134" t="s">
        <v>115</v>
      </c>
      <c r="C10" s="135"/>
      <c r="D10" s="4"/>
      <c r="E10" s="42" t="s">
        <v>182</v>
      </c>
      <c r="F10" s="46">
        <v>1221</v>
      </c>
      <c r="S10" s="10"/>
      <c r="U10" s="10">
        <v>20480</v>
      </c>
      <c r="AC10" s="10" t="s">
        <v>53</v>
      </c>
    </row>
    <row r="11" spans="1:29" x14ac:dyDescent="0.25">
      <c r="A11" s="3"/>
      <c r="B11" s="44" t="s">
        <v>324</v>
      </c>
      <c r="C11" s="24"/>
      <c r="D11" s="4"/>
      <c r="E11" s="42" t="s">
        <v>183</v>
      </c>
      <c r="F11" s="46">
        <v>1222</v>
      </c>
      <c r="U11" s="10">
        <v>24576</v>
      </c>
      <c r="AC11" s="10" t="s">
        <v>54</v>
      </c>
    </row>
    <row r="12" spans="1:29" x14ac:dyDescent="0.25">
      <c r="A12" s="3"/>
      <c r="B12" s="15" t="s">
        <v>325</v>
      </c>
      <c r="C12" s="23"/>
      <c r="D12" s="4"/>
      <c r="E12" s="41" t="s">
        <v>326</v>
      </c>
      <c r="F12" s="46">
        <v>201</v>
      </c>
      <c r="U12" s="10">
        <v>28672</v>
      </c>
      <c r="AC12" s="10" t="s">
        <v>55</v>
      </c>
    </row>
    <row r="13" spans="1:29" ht="15.75" thickBot="1" x14ac:dyDescent="0.3">
      <c r="A13" s="3"/>
      <c r="B13" s="19" t="s">
        <v>109</v>
      </c>
      <c r="C13" s="25"/>
      <c r="D13" s="4"/>
      <c r="E13" s="43" t="s">
        <v>151</v>
      </c>
      <c r="F13" s="47">
        <v>250</v>
      </c>
      <c r="U13" s="10">
        <v>32768</v>
      </c>
      <c r="AC13" s="10" t="s">
        <v>56</v>
      </c>
    </row>
    <row r="14" spans="1:29" x14ac:dyDescent="0.25">
      <c r="A14" s="3"/>
      <c r="B14" s="15" t="s">
        <v>110</v>
      </c>
      <c r="C14" s="23"/>
      <c r="D14" s="4"/>
      <c r="E14" s="41" t="s">
        <v>238</v>
      </c>
      <c r="F14" s="46">
        <v>130</v>
      </c>
      <c r="U14" s="10">
        <v>36864</v>
      </c>
      <c r="AC14" s="10" t="s">
        <v>58</v>
      </c>
    </row>
    <row r="15" spans="1:29" x14ac:dyDescent="0.25">
      <c r="A15" s="3"/>
      <c r="B15" s="19" t="s">
        <v>111</v>
      </c>
      <c r="C15" s="25"/>
      <c r="D15" s="4"/>
      <c r="E15" s="4"/>
      <c r="F15" s="4"/>
      <c r="U15" s="10">
        <v>40960</v>
      </c>
      <c r="AC15" s="10" t="s">
        <v>60</v>
      </c>
    </row>
    <row r="16" spans="1:29" x14ac:dyDescent="0.25">
      <c r="A16" s="3"/>
      <c r="B16" s="15" t="s">
        <v>112</v>
      </c>
      <c r="C16" s="23"/>
      <c r="D16" s="4"/>
      <c r="E16" s="4"/>
      <c r="F16" s="5"/>
      <c r="U16" s="10">
        <v>45056</v>
      </c>
      <c r="AC16" s="10" t="s">
        <v>62</v>
      </c>
    </row>
    <row r="17" spans="1:29" x14ac:dyDescent="0.25">
      <c r="A17" s="3"/>
      <c r="B17" s="19" t="s">
        <v>113</v>
      </c>
      <c r="C17" s="25"/>
      <c r="D17" s="4"/>
      <c r="E17" s="4"/>
      <c r="F17" s="5"/>
      <c r="U17" s="10">
        <v>49152</v>
      </c>
      <c r="AC17" s="10" t="s">
        <v>64</v>
      </c>
    </row>
    <row r="18" spans="1:29" x14ac:dyDescent="0.25">
      <c r="A18" s="3"/>
      <c r="B18" s="15" t="s">
        <v>114</v>
      </c>
      <c r="C18" s="23"/>
      <c r="D18" s="4"/>
      <c r="E18" s="4"/>
      <c r="F18" s="5"/>
      <c r="U18" s="10">
        <v>53248</v>
      </c>
      <c r="AC18" s="10" t="s">
        <v>66</v>
      </c>
    </row>
    <row r="19" spans="1:29" x14ac:dyDescent="0.25">
      <c r="A19" s="3"/>
      <c r="B19" s="19" t="s">
        <v>116</v>
      </c>
      <c r="C19" s="25"/>
      <c r="D19" s="4"/>
      <c r="E19" s="4"/>
      <c r="F19" s="5"/>
      <c r="U19" s="10">
        <v>57344</v>
      </c>
      <c r="AC19" s="10" t="s">
        <v>67</v>
      </c>
    </row>
    <row r="20" spans="1:29" x14ac:dyDescent="0.25">
      <c r="A20" s="3"/>
      <c r="B20" s="15" t="s">
        <v>119</v>
      </c>
      <c r="C20" s="23"/>
      <c r="D20" s="4"/>
      <c r="E20" s="4"/>
      <c r="F20" s="5"/>
      <c r="U20" s="10">
        <v>61440</v>
      </c>
      <c r="AC20" s="10" t="s">
        <v>69</v>
      </c>
    </row>
    <row r="21" spans="1:29" x14ac:dyDescent="0.25">
      <c r="A21" s="3"/>
      <c r="B21" s="19" t="s">
        <v>120</v>
      </c>
      <c r="C21" s="25"/>
      <c r="D21" s="4"/>
      <c r="E21" s="4"/>
      <c r="F21" s="5"/>
      <c r="AC21" s="10" t="s">
        <v>71</v>
      </c>
    </row>
    <row r="22" spans="1:29" x14ac:dyDescent="0.25">
      <c r="A22" s="3"/>
      <c r="B22" s="15" t="s">
        <v>122</v>
      </c>
      <c r="C22" s="23"/>
      <c r="D22" s="4"/>
      <c r="E22" s="4"/>
      <c r="F22" s="5"/>
      <c r="AC22" s="10" t="s">
        <v>73</v>
      </c>
    </row>
    <row r="23" spans="1:29" x14ac:dyDescent="0.25">
      <c r="A23" s="3"/>
      <c r="B23" s="19" t="s">
        <v>124</v>
      </c>
      <c r="C23" s="25"/>
      <c r="D23" s="4"/>
      <c r="E23" s="4"/>
      <c r="F23" s="5"/>
      <c r="AC23" s="10" t="s">
        <v>75</v>
      </c>
    </row>
    <row r="24" spans="1:29" x14ac:dyDescent="0.25">
      <c r="A24" s="3"/>
      <c r="B24" s="15" t="s">
        <v>123</v>
      </c>
      <c r="C24" s="23"/>
      <c r="D24" s="4"/>
      <c r="E24" s="4"/>
      <c r="F24" s="5"/>
      <c r="AC24" s="10" t="s">
        <v>76</v>
      </c>
    </row>
    <row r="25" spans="1:29" x14ac:dyDescent="0.25">
      <c r="A25" s="3"/>
      <c r="B25" s="19" t="s">
        <v>125</v>
      </c>
      <c r="C25" s="25"/>
      <c r="D25" s="4"/>
      <c r="E25" s="4"/>
      <c r="F25" s="5"/>
      <c r="AC25" s="10" t="s">
        <v>77</v>
      </c>
    </row>
    <row r="26" spans="1:29" x14ac:dyDescent="0.25">
      <c r="A26" s="3"/>
      <c r="B26" s="11"/>
      <c r="C26" s="11"/>
      <c r="D26" s="4"/>
      <c r="E26" s="4"/>
      <c r="F26" s="5"/>
      <c r="AC26" s="10" t="s">
        <v>79</v>
      </c>
    </row>
    <row r="27" spans="1:29" ht="15.75" thickBot="1" x14ac:dyDescent="0.3">
      <c r="A27" s="3"/>
      <c r="B27" s="134" t="s">
        <v>52</v>
      </c>
      <c r="C27" s="135"/>
      <c r="D27" s="4"/>
      <c r="E27" s="4"/>
      <c r="F27" s="5"/>
      <c r="AC27" s="10" t="s">
        <v>82</v>
      </c>
    </row>
    <row r="28" spans="1:29" x14ac:dyDescent="0.25">
      <c r="A28" s="3"/>
      <c r="B28" s="14" t="s">
        <v>94</v>
      </c>
      <c r="C28" s="40" t="s">
        <v>44</v>
      </c>
      <c r="D28" s="4"/>
      <c r="E28" s="4"/>
      <c r="F28" s="5"/>
    </row>
    <row r="29" spans="1:29" x14ac:dyDescent="0.25">
      <c r="A29" s="3"/>
      <c r="B29" s="15" t="s">
        <v>95</v>
      </c>
      <c r="C29" s="23"/>
      <c r="D29" s="4"/>
      <c r="E29" s="4"/>
      <c r="F29" s="5"/>
    </row>
    <row r="30" spans="1:29" x14ac:dyDescent="0.25">
      <c r="A30" s="3"/>
      <c r="B30" s="11"/>
      <c r="C30" s="11"/>
      <c r="D30" s="4"/>
      <c r="E30" s="4"/>
      <c r="F30" s="5"/>
    </row>
    <row r="31" spans="1:29" ht="15.75" thickBot="1" x14ac:dyDescent="0.3">
      <c r="A31" s="3"/>
      <c r="B31" s="134" t="s">
        <v>57</v>
      </c>
      <c r="C31" s="135"/>
      <c r="D31" s="4"/>
      <c r="E31" s="4"/>
      <c r="F31" s="5"/>
    </row>
    <row r="32" spans="1:29" x14ac:dyDescent="0.25">
      <c r="A32" s="3"/>
      <c r="B32" s="14" t="s">
        <v>59</v>
      </c>
      <c r="C32" s="24"/>
      <c r="D32" s="4"/>
      <c r="E32" s="4"/>
      <c r="F32" s="5"/>
    </row>
    <row r="33" spans="1:6" x14ac:dyDescent="0.25">
      <c r="A33" s="3"/>
      <c r="B33" s="15" t="s">
        <v>61</v>
      </c>
      <c r="C33" s="23"/>
      <c r="D33" s="4"/>
      <c r="E33" s="4"/>
      <c r="F33" s="5"/>
    </row>
    <row r="34" spans="1:6" x14ac:dyDescent="0.25">
      <c r="A34" s="3"/>
      <c r="B34" s="19" t="s">
        <v>63</v>
      </c>
      <c r="C34" s="25"/>
      <c r="D34" s="4"/>
      <c r="E34" s="4"/>
      <c r="F34" s="5"/>
    </row>
    <row r="35" spans="1:6" x14ac:dyDescent="0.25">
      <c r="A35" s="3"/>
      <c r="B35" s="15" t="s">
        <v>65</v>
      </c>
      <c r="C35" s="23"/>
      <c r="D35" s="4"/>
      <c r="E35" s="4"/>
      <c r="F35" s="5"/>
    </row>
    <row r="36" spans="1:6" x14ac:dyDescent="0.25">
      <c r="A36" s="3"/>
      <c r="B36" s="12"/>
      <c r="C36" s="11"/>
      <c r="D36" s="4"/>
      <c r="E36" s="4"/>
      <c r="F36" s="5"/>
    </row>
    <row r="37" spans="1:6" ht="15.75" thickBot="1" x14ac:dyDescent="0.3">
      <c r="A37" s="3"/>
      <c r="B37" s="134" t="s">
        <v>68</v>
      </c>
      <c r="C37" s="135"/>
      <c r="D37" s="4"/>
      <c r="E37" s="4"/>
      <c r="F37" s="5"/>
    </row>
    <row r="38" spans="1:6" x14ac:dyDescent="0.25">
      <c r="A38" s="3"/>
      <c r="B38" s="14" t="s">
        <v>70</v>
      </c>
      <c r="C38" s="24"/>
      <c r="D38" s="4"/>
      <c r="E38" s="4"/>
      <c r="F38" s="5"/>
    </row>
    <row r="39" spans="1:6" x14ac:dyDescent="0.25">
      <c r="A39" s="3"/>
      <c r="B39" s="15" t="s">
        <v>72</v>
      </c>
      <c r="C39" s="23"/>
      <c r="D39" s="4"/>
      <c r="E39" s="4"/>
      <c r="F39" s="5"/>
    </row>
    <row r="40" spans="1:6" x14ac:dyDescent="0.25">
      <c r="A40" s="3"/>
      <c r="B40" s="19" t="s">
        <v>74</v>
      </c>
      <c r="C40" s="25"/>
      <c r="D40" s="4"/>
      <c r="E40" s="4"/>
      <c r="F40" s="5"/>
    </row>
    <row r="41" spans="1:6" x14ac:dyDescent="0.25">
      <c r="A41" s="3"/>
      <c r="B41" s="15" t="s">
        <v>36</v>
      </c>
      <c r="C41" s="23" t="s">
        <v>60</v>
      </c>
      <c r="D41" s="4"/>
      <c r="E41" s="4"/>
      <c r="F41" s="5"/>
    </row>
    <row r="42" spans="1:6" x14ac:dyDescent="0.25">
      <c r="A42" s="3"/>
      <c r="B42" s="11"/>
      <c r="C42" s="11"/>
      <c r="D42" s="4"/>
      <c r="E42" s="4"/>
      <c r="F42" s="5"/>
    </row>
    <row r="43" spans="1:6" ht="15.75" thickBot="1" x14ac:dyDescent="0.3">
      <c r="A43" s="3"/>
      <c r="B43" s="134" t="s">
        <v>78</v>
      </c>
      <c r="C43" s="135"/>
      <c r="D43" s="4"/>
      <c r="E43" s="4"/>
      <c r="F43" s="5"/>
    </row>
    <row r="44" spans="1:6" x14ac:dyDescent="0.25">
      <c r="A44" s="3"/>
      <c r="B44" s="26" t="s">
        <v>80</v>
      </c>
      <c r="C44" s="24"/>
      <c r="D44" s="4"/>
      <c r="E44" s="4"/>
      <c r="F44" s="5"/>
    </row>
    <row r="45" spans="1:6" ht="15.75" thickBot="1" x14ac:dyDescent="0.3">
      <c r="A45" s="3"/>
      <c r="B45" s="29" t="s">
        <v>81</v>
      </c>
      <c r="C45" s="30"/>
      <c r="D45" s="4"/>
      <c r="E45" s="4"/>
      <c r="F45" s="5"/>
    </row>
    <row r="46" spans="1:6" x14ac:dyDescent="0.25">
      <c r="A46" s="3"/>
      <c r="B46" s="32" t="s">
        <v>132</v>
      </c>
      <c r="C46" s="22"/>
      <c r="D46" s="4"/>
      <c r="E46" s="4"/>
      <c r="F46" s="5"/>
    </row>
    <row r="47" spans="1:6" x14ac:dyDescent="0.25">
      <c r="A47" s="3"/>
      <c r="B47" s="17" t="s">
        <v>83</v>
      </c>
      <c r="C47" s="23"/>
      <c r="D47" s="4"/>
      <c r="E47" s="4"/>
      <c r="F47" s="5"/>
    </row>
    <row r="48" spans="1:6" ht="15.75" thickBot="1" x14ac:dyDescent="0.3">
      <c r="A48" s="3"/>
      <c r="B48" s="33" t="s">
        <v>84</v>
      </c>
      <c r="C48" s="34" t="s">
        <v>85</v>
      </c>
      <c r="D48" s="4"/>
      <c r="E48" s="4"/>
      <c r="F48" s="5"/>
    </row>
    <row r="49" spans="1:6" x14ac:dyDescent="0.25">
      <c r="A49" s="3"/>
      <c r="B49" s="26" t="s">
        <v>132</v>
      </c>
      <c r="C49" s="24"/>
      <c r="D49" s="4"/>
      <c r="E49" s="4"/>
      <c r="F49" s="5"/>
    </row>
    <row r="50" spans="1:6" x14ac:dyDescent="0.25">
      <c r="A50" s="3"/>
      <c r="B50" s="16" t="s">
        <v>83</v>
      </c>
      <c r="C50" s="25"/>
      <c r="D50" s="4"/>
      <c r="E50" s="4"/>
      <c r="F50" s="5"/>
    </row>
    <row r="51" spans="1:6" ht="15.75" thickBot="1" x14ac:dyDescent="0.3">
      <c r="A51" s="3"/>
      <c r="B51" s="29" t="s">
        <v>84</v>
      </c>
      <c r="C51" s="30" t="s">
        <v>85</v>
      </c>
      <c r="D51" s="4"/>
      <c r="E51" s="4"/>
      <c r="F51" s="5"/>
    </row>
    <row r="52" spans="1:6" x14ac:dyDescent="0.25">
      <c r="A52" s="3"/>
      <c r="B52" s="27" t="s">
        <v>132</v>
      </c>
      <c r="C52" s="28"/>
      <c r="D52" s="4"/>
      <c r="E52" s="4"/>
      <c r="F52" s="5"/>
    </row>
    <row r="53" spans="1:6" x14ac:dyDescent="0.25">
      <c r="A53" s="3"/>
      <c r="B53" s="17" t="s">
        <v>83</v>
      </c>
      <c r="C53" s="23"/>
      <c r="D53" s="4"/>
      <c r="E53" s="4"/>
      <c r="F53" s="5"/>
    </row>
    <row r="54" spans="1:6" ht="15.75" thickBot="1" x14ac:dyDescent="0.3">
      <c r="A54" s="3"/>
      <c r="B54" s="33" t="s">
        <v>84</v>
      </c>
      <c r="C54" s="34" t="s">
        <v>85</v>
      </c>
      <c r="D54" s="4"/>
      <c r="E54" s="4"/>
      <c r="F54" s="5"/>
    </row>
    <row r="55" spans="1:6" x14ac:dyDescent="0.25">
      <c r="A55" s="3"/>
      <c r="B55" s="18" t="s">
        <v>133</v>
      </c>
      <c r="C55" s="31"/>
      <c r="D55" s="4"/>
      <c r="E55" s="4"/>
      <c r="F55" s="5"/>
    </row>
    <row r="56" spans="1:6" x14ac:dyDescent="0.25">
      <c r="A56" s="3"/>
      <c r="B56" s="20" t="s">
        <v>134</v>
      </c>
      <c r="C56" s="25"/>
      <c r="D56" s="4"/>
      <c r="E56" s="4"/>
      <c r="F56" s="5"/>
    </row>
    <row r="57" spans="1:6" x14ac:dyDescent="0.25">
      <c r="A57" s="3"/>
      <c r="B57" s="20" t="s">
        <v>135</v>
      </c>
      <c r="C57" s="25"/>
      <c r="D57" s="4"/>
      <c r="E57" s="4"/>
      <c r="F57" s="5"/>
    </row>
    <row r="58" spans="1:6" x14ac:dyDescent="0.25">
      <c r="A58" s="3"/>
      <c r="B58" s="20" t="s">
        <v>83</v>
      </c>
      <c r="C58" s="25"/>
      <c r="D58" s="4"/>
      <c r="E58" s="4"/>
      <c r="F58" s="5"/>
    </row>
    <row r="59" spans="1:6" ht="15.75" thickBot="1" x14ac:dyDescent="0.3">
      <c r="A59" s="3"/>
      <c r="B59" s="35" t="s">
        <v>84</v>
      </c>
      <c r="C59" s="30" t="s">
        <v>85</v>
      </c>
      <c r="D59" s="4"/>
      <c r="E59" s="4"/>
      <c r="F59" s="5"/>
    </row>
    <row r="60" spans="1:6" x14ac:dyDescent="0.25">
      <c r="A60" s="3"/>
      <c r="B60" s="27" t="s">
        <v>133</v>
      </c>
      <c r="C60" s="28"/>
      <c r="D60" s="4"/>
      <c r="E60" s="4"/>
      <c r="F60" s="5"/>
    </row>
    <row r="61" spans="1:6" x14ac:dyDescent="0.25">
      <c r="A61" s="3"/>
      <c r="B61" s="21" t="s">
        <v>134</v>
      </c>
      <c r="C61" s="23"/>
      <c r="D61" s="4"/>
      <c r="E61" s="4"/>
      <c r="F61" s="5"/>
    </row>
    <row r="62" spans="1:6" x14ac:dyDescent="0.25">
      <c r="A62" s="3"/>
      <c r="B62" s="21" t="s">
        <v>135</v>
      </c>
      <c r="C62" s="23"/>
      <c r="D62" s="4"/>
      <c r="E62" s="4"/>
      <c r="F62" s="5"/>
    </row>
    <row r="63" spans="1:6" x14ac:dyDescent="0.25">
      <c r="A63" s="3"/>
      <c r="B63" s="21" t="s">
        <v>83</v>
      </c>
      <c r="C63" s="23"/>
      <c r="D63" s="4"/>
      <c r="E63" s="4"/>
      <c r="F63" s="5"/>
    </row>
    <row r="64" spans="1:6" ht="15.75" thickBot="1" x14ac:dyDescent="0.3">
      <c r="A64" s="3"/>
      <c r="B64" s="36" t="s">
        <v>84</v>
      </c>
      <c r="C64" s="34" t="s">
        <v>85</v>
      </c>
      <c r="D64" s="4"/>
      <c r="E64" s="4"/>
      <c r="F64" s="5"/>
    </row>
    <row r="65" spans="1:6" x14ac:dyDescent="0.25">
      <c r="A65" s="3"/>
      <c r="B65" s="18" t="s">
        <v>86</v>
      </c>
      <c r="C65" s="31"/>
      <c r="D65" s="4"/>
      <c r="E65" s="4"/>
      <c r="F65" s="5"/>
    </row>
    <row r="66" spans="1:6" x14ac:dyDescent="0.25">
      <c r="A66" s="3"/>
      <c r="B66" s="16" t="s">
        <v>87</v>
      </c>
      <c r="C66" s="25"/>
      <c r="D66" s="4"/>
      <c r="E66" s="4"/>
      <c r="F66" s="5"/>
    </row>
    <row r="67" spans="1:6" x14ac:dyDescent="0.25">
      <c r="A67" s="3"/>
      <c r="B67" s="16" t="s">
        <v>88</v>
      </c>
      <c r="C67" s="25"/>
      <c r="D67" s="4"/>
      <c r="E67" s="4"/>
      <c r="F67" s="5"/>
    </row>
    <row r="68" spans="1:6" ht="15.75" thickBot="1" x14ac:dyDescent="0.3">
      <c r="A68" s="3"/>
      <c r="B68" s="29" t="s">
        <v>89</v>
      </c>
      <c r="C68" s="30">
        <v>162</v>
      </c>
      <c r="D68" s="4"/>
      <c r="E68" s="4"/>
      <c r="F68" s="5"/>
    </row>
    <row r="69" spans="1:6" x14ac:dyDescent="0.25">
      <c r="A69" s="3"/>
      <c r="B69" s="27" t="s">
        <v>86</v>
      </c>
      <c r="C69" s="28"/>
      <c r="D69" s="4"/>
      <c r="E69" s="4"/>
      <c r="F69" s="5"/>
    </row>
    <row r="70" spans="1:6" x14ac:dyDescent="0.25">
      <c r="A70" s="3"/>
      <c r="B70" s="17" t="s">
        <v>87</v>
      </c>
      <c r="C70" s="23"/>
      <c r="D70" s="4"/>
      <c r="E70" s="4"/>
      <c r="F70" s="5"/>
    </row>
    <row r="71" spans="1:6" x14ac:dyDescent="0.25">
      <c r="A71" s="3"/>
      <c r="B71" s="17" t="s">
        <v>88</v>
      </c>
      <c r="C71" s="23"/>
      <c r="D71" s="4"/>
      <c r="E71" s="4"/>
      <c r="F71" s="5"/>
    </row>
    <row r="72" spans="1:6" x14ac:dyDescent="0.25">
      <c r="A72" s="3"/>
      <c r="B72" s="17" t="s">
        <v>89</v>
      </c>
      <c r="C72" s="23">
        <v>162</v>
      </c>
      <c r="D72" s="4"/>
      <c r="E72" s="4"/>
      <c r="F72" s="5"/>
    </row>
    <row r="73" spans="1:6" x14ac:dyDescent="0.25">
      <c r="A73" s="3"/>
      <c r="B73" s="4"/>
      <c r="C73" s="13"/>
      <c r="D73" s="4"/>
      <c r="E73" s="4"/>
      <c r="F73" s="5"/>
    </row>
    <row r="74" spans="1:6" x14ac:dyDescent="0.25">
      <c r="A74" s="6"/>
      <c r="B74" s="7"/>
      <c r="C74" s="7"/>
      <c r="D74" s="7"/>
      <c r="E74" s="4"/>
      <c r="F74" s="5"/>
    </row>
    <row r="75" spans="1:6" x14ac:dyDescent="0.25">
      <c r="E75" s="7"/>
      <c r="F75" s="8"/>
    </row>
  </sheetData>
  <mergeCells count="7">
    <mergeCell ref="B43:C43"/>
    <mergeCell ref="B31:C31"/>
    <mergeCell ref="A2:F2"/>
    <mergeCell ref="B27:C27"/>
    <mergeCell ref="B4:C4"/>
    <mergeCell ref="B10:C10"/>
    <mergeCell ref="B37:C37"/>
  </mergeCells>
  <conditionalFormatting sqref="C11:C25">
    <cfRule type="expression" dxfId="195" priority="9" stopIfTrue="1">
      <formula>$C11=""</formula>
    </cfRule>
  </conditionalFormatting>
  <conditionalFormatting sqref="C5:C8">
    <cfRule type="expression" dxfId="194" priority="8" stopIfTrue="1">
      <formula>$C5=""</formula>
    </cfRule>
  </conditionalFormatting>
  <conditionalFormatting sqref="C32:C35">
    <cfRule type="expression" dxfId="193" priority="11" stopIfTrue="1">
      <formula>$C32=""</formula>
    </cfRule>
  </conditionalFormatting>
  <conditionalFormatting sqref="C28:C29">
    <cfRule type="expression" dxfId="192" priority="10" stopIfTrue="1">
      <formula>$C28=""</formula>
    </cfRule>
  </conditionalFormatting>
  <conditionalFormatting sqref="C38:C41">
    <cfRule type="expression" dxfId="191" priority="12" stopIfTrue="1">
      <formula>$C38=""</formula>
    </cfRule>
  </conditionalFormatting>
  <conditionalFormatting sqref="B47:C48">
    <cfRule type="expression" dxfId="190" priority="3" stopIfTrue="1">
      <formula>$C$46=""</formula>
    </cfRule>
  </conditionalFormatting>
  <conditionalFormatting sqref="B50:C51">
    <cfRule type="expression" dxfId="189" priority="4" stopIfTrue="1">
      <formula>$C$49=""</formula>
    </cfRule>
  </conditionalFormatting>
  <conditionalFormatting sqref="B53:C54">
    <cfRule type="expression" dxfId="188" priority="5" stopIfTrue="1">
      <formula>$C$52=""</formula>
    </cfRule>
  </conditionalFormatting>
  <conditionalFormatting sqref="C44:C72">
    <cfRule type="expression" dxfId="187" priority="13" stopIfTrue="1">
      <formula>$C44=""</formula>
    </cfRule>
  </conditionalFormatting>
  <conditionalFormatting sqref="B56:C59">
    <cfRule type="expression" dxfId="186" priority="6" stopIfTrue="1">
      <formula>$C$55=""</formula>
    </cfRule>
  </conditionalFormatting>
  <conditionalFormatting sqref="B61:C64">
    <cfRule type="expression" dxfId="185" priority="7" stopIfTrue="1">
      <formula>$C$60=""</formula>
    </cfRule>
  </conditionalFormatting>
  <conditionalFormatting sqref="B66:C68">
    <cfRule type="expression" dxfId="184" priority="2" stopIfTrue="1">
      <formula>$C$65=""</formula>
    </cfRule>
  </conditionalFormatting>
  <conditionalFormatting sqref="B70:C72">
    <cfRule type="expression" dxfId="183" priority="1" stopIfTrue="1">
      <formula>$C$69=""</formula>
    </cfRule>
  </conditionalFormatting>
  <dataValidations count="12">
    <dataValidation type="list" allowBlank="1" showInputMessage="1" showErrorMessage="1" sqref="C41">
      <formula1>$AC$4:$AC$27</formula1>
    </dataValidation>
    <dataValidation type="list" allowBlank="1" showInputMessage="1" showErrorMessage="1" sqref="C53 C63 C58 C47 C50">
      <formula1>$AA$4:$AA$5</formula1>
    </dataValidation>
    <dataValidation type="list" allowBlank="1" showInputMessage="1" showErrorMessage="1" sqref="C32">
      <formula1>$W$4:$W$8</formula1>
    </dataValidation>
    <dataValidation type="list" allowBlank="1" showInputMessage="1" showErrorMessage="1" sqref="C28">
      <formula1>$S$4:$S$9</formula1>
    </dataValidation>
    <dataValidation type="list" allowBlank="1" showInputMessage="1" showErrorMessage="1" sqref="C11:C12">
      <formula1>$G$4:$G$9</formula1>
    </dataValidation>
    <dataValidation type="list" allowBlank="1" showInputMessage="1" showErrorMessage="1" sqref="C13:C14">
      <formula1>$I$4:$I$8</formula1>
    </dataValidation>
    <dataValidation type="list" allowBlank="1" showInputMessage="1" showErrorMessage="1" sqref="C15:C16">
      <formula1>$K$4:$K$8</formula1>
    </dataValidation>
    <dataValidation type="list" allowBlank="1" showInputMessage="1" showErrorMessage="1" sqref="C17:C18">
      <formula1>$M$4:$M$6</formula1>
    </dataValidation>
    <dataValidation type="list" allowBlank="1" showInputMessage="1" showErrorMessage="1" sqref="C19">
      <formula1>$O$4:$O$5</formula1>
    </dataValidation>
    <dataValidation type="list" allowBlank="1" showInputMessage="1" showErrorMessage="1" sqref="C20:C21">
      <formula1>$Q$4</formula1>
    </dataValidation>
    <dataValidation type="list" allowBlank="1" showInputMessage="1" showErrorMessage="1" sqref="C29">
      <formula1>$U$4:$U$20</formula1>
    </dataValidation>
    <dataValidation type="list" allowBlank="1" showInputMessage="1" showErrorMessage="1" sqref="C66 C70">
      <formula1>$Y$4:$Y$6</formula1>
    </dataValidation>
  </dataValidations>
  <pageMargins left="0.7" right="0.7" top="0.75" bottom="0.75" header="0.3" footer="0.3"/>
  <pageSetup paperSize="9" orientation="portrait" horizontalDpi="360" verticalDpi="360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N3:R28"/>
  <sheetViews>
    <sheetView tabSelected="1" zoomScaleNormal="100" workbookViewId="0"/>
  </sheetViews>
  <sheetFormatPr defaultRowHeight="15" x14ac:dyDescent="0.25"/>
  <cols>
    <col min="4" max="5" width="19.140625" bestFit="1" customWidth="1"/>
    <col min="6" max="6" width="46.5703125" bestFit="1" customWidth="1"/>
    <col min="14" max="14" width="31.140625" bestFit="1" customWidth="1"/>
    <col min="15" max="15" width="40" bestFit="1" customWidth="1"/>
    <col min="16" max="16" width="20.5703125" bestFit="1" customWidth="1"/>
    <col min="17" max="17" width="51.28515625" customWidth="1"/>
    <col min="18" max="18" width="13.85546875" bestFit="1" customWidth="1"/>
    <col min="19" max="19" width="35" customWidth="1"/>
    <col min="20" max="25" width="7.85546875" customWidth="1"/>
  </cols>
  <sheetData>
    <row r="3" spans="14:18" ht="30" x14ac:dyDescent="0.25">
      <c r="N3" s="48" t="s">
        <v>165</v>
      </c>
      <c r="O3" s="48" t="s">
        <v>145</v>
      </c>
      <c r="P3" s="48" t="s">
        <v>166</v>
      </c>
      <c r="Q3" s="48" t="s">
        <v>167</v>
      </c>
      <c r="R3" s="48" t="s">
        <v>178</v>
      </c>
    </row>
    <row r="4" spans="14:18" ht="30" x14ac:dyDescent="0.25">
      <c r="N4" s="48" t="s">
        <v>168</v>
      </c>
      <c r="O4" s="48" t="s">
        <v>179</v>
      </c>
      <c r="P4" s="48" t="s">
        <v>180</v>
      </c>
      <c r="Q4" s="48" t="s">
        <v>180</v>
      </c>
      <c r="R4" s="48" t="s">
        <v>180</v>
      </c>
    </row>
    <row r="5" spans="14:18" ht="30" x14ac:dyDescent="0.25">
      <c r="N5" s="48" t="s">
        <v>169</v>
      </c>
      <c r="O5" s="48" t="s">
        <v>10</v>
      </c>
      <c r="P5" s="48" t="s">
        <v>179</v>
      </c>
      <c r="Q5" s="48" t="s">
        <v>170</v>
      </c>
      <c r="R5" s="48" t="s">
        <v>170</v>
      </c>
    </row>
    <row r="6" spans="14:18" ht="30" x14ac:dyDescent="0.25">
      <c r="N6" s="48" t="s">
        <v>171</v>
      </c>
      <c r="O6" s="48" t="s">
        <v>10</v>
      </c>
      <c r="P6" s="48" t="s">
        <v>179</v>
      </c>
      <c r="Q6" s="48" t="s">
        <v>170</v>
      </c>
      <c r="R6" s="48" t="s">
        <v>170</v>
      </c>
    </row>
    <row r="7" spans="14:18" ht="30" x14ac:dyDescent="0.25">
      <c r="N7" s="48" t="s">
        <v>172</v>
      </c>
      <c r="O7" s="48" t="s">
        <v>179</v>
      </c>
      <c r="P7" s="48" t="s">
        <v>179</v>
      </c>
      <c r="Q7" s="48" t="s">
        <v>179</v>
      </c>
      <c r="R7" s="48" t="s">
        <v>170</v>
      </c>
    </row>
    <row r="8" spans="14:18" ht="30" x14ac:dyDescent="0.25">
      <c r="N8" s="48" t="s">
        <v>173</v>
      </c>
      <c r="O8" s="48" t="s">
        <v>170</v>
      </c>
      <c r="P8" s="48" t="s">
        <v>179</v>
      </c>
      <c r="Q8" s="48" t="s">
        <v>179</v>
      </c>
      <c r="R8" s="48" t="s">
        <v>170</v>
      </c>
    </row>
    <row r="9" spans="14:18" ht="30" x14ac:dyDescent="0.25">
      <c r="N9" s="48" t="s">
        <v>174</v>
      </c>
      <c r="O9" s="48" t="s">
        <v>179</v>
      </c>
      <c r="P9" s="48" t="s">
        <v>179</v>
      </c>
      <c r="Q9" s="48" t="s">
        <v>10</v>
      </c>
      <c r="R9" s="48" t="s">
        <v>180</v>
      </c>
    </row>
    <row r="10" spans="14:18" ht="30" x14ac:dyDescent="0.25">
      <c r="N10" s="48" t="s">
        <v>175</v>
      </c>
      <c r="O10" s="48" t="s">
        <v>170</v>
      </c>
      <c r="P10" s="48" t="s">
        <v>170</v>
      </c>
      <c r="Q10" s="48" t="s">
        <v>170</v>
      </c>
      <c r="R10" s="48" t="s">
        <v>180</v>
      </c>
    </row>
    <row r="11" spans="14:18" ht="30" x14ac:dyDescent="0.25">
      <c r="N11" s="48" t="s">
        <v>176</v>
      </c>
      <c r="O11" s="48" t="s">
        <v>179</v>
      </c>
      <c r="P11" s="48" t="s">
        <v>170</v>
      </c>
      <c r="Q11" s="48" t="s">
        <v>170</v>
      </c>
      <c r="R11" s="48" t="s">
        <v>170</v>
      </c>
    </row>
    <row r="12" spans="14:18" ht="30" x14ac:dyDescent="0.25">
      <c r="N12" s="48" t="s">
        <v>177</v>
      </c>
      <c r="O12" s="48" t="s">
        <v>180</v>
      </c>
      <c r="P12" s="48" t="s">
        <v>180</v>
      </c>
      <c r="Q12" s="48" t="s">
        <v>180</v>
      </c>
      <c r="R12" s="48" t="s">
        <v>180</v>
      </c>
    </row>
    <row r="13" spans="14:18" x14ac:dyDescent="0.25">
      <c r="N13" s="48"/>
      <c r="O13" s="48"/>
      <c r="P13" s="48"/>
      <c r="Q13" s="48"/>
      <c r="R13" s="48"/>
    </row>
    <row r="14" spans="14:18" x14ac:dyDescent="0.25">
      <c r="N14" s="139" t="s">
        <v>181</v>
      </c>
      <c r="O14" s="140"/>
      <c r="P14" s="140"/>
      <c r="Q14" s="140"/>
      <c r="R14" s="140"/>
    </row>
    <row r="18" spans="14:17" x14ac:dyDescent="0.25">
      <c r="N18" s="141" t="s">
        <v>8</v>
      </c>
      <c r="O18" s="142"/>
    </row>
    <row r="19" spans="14:17" x14ac:dyDescent="0.25">
      <c r="N19" s="10" t="s">
        <v>28</v>
      </c>
      <c r="O19" s="10" t="s">
        <v>0</v>
      </c>
      <c r="P19" s="10" t="s">
        <v>206</v>
      </c>
      <c r="Q19" s="10" t="s">
        <v>207</v>
      </c>
    </row>
    <row r="20" spans="14:17" x14ac:dyDescent="0.25">
      <c r="N20" s="62">
        <f>OOB</f>
        <v>110</v>
      </c>
      <c r="O20" s="62" t="str">
        <f>OOB_NAME</f>
        <v>OOB</v>
      </c>
      <c r="P20" s="62" t="s">
        <v>208</v>
      </c>
      <c r="Q20" s="62" t="s">
        <v>209</v>
      </c>
    </row>
    <row r="21" spans="14:17" x14ac:dyDescent="0.25">
      <c r="N21" s="63">
        <f>Provisioner</f>
        <v>120</v>
      </c>
      <c r="O21" s="63" t="str">
        <f>Prov_name</f>
        <v>Provisioner</v>
      </c>
      <c r="P21" s="63" t="s">
        <v>210</v>
      </c>
      <c r="Q21" s="63" t="s">
        <v>211</v>
      </c>
    </row>
    <row r="22" spans="14:17" x14ac:dyDescent="0.25">
      <c r="N22" s="64">
        <f>TenTunnel</f>
        <v>130</v>
      </c>
      <c r="O22" s="64" t="str">
        <f>TenTunnelName</f>
        <v>Tenant Tunnel Network</v>
      </c>
      <c r="P22" s="64" t="s">
        <v>212</v>
      </c>
      <c r="Q22" s="64" t="s">
        <v>213</v>
      </c>
    </row>
    <row r="23" spans="14:17" x14ac:dyDescent="0.25">
      <c r="N23" s="65">
        <f>PrivAPI</f>
        <v>140</v>
      </c>
      <c r="O23" s="65" t="str">
        <f>PrivAPI_name</f>
        <v>Private API</v>
      </c>
      <c r="P23" s="65" t="s">
        <v>214</v>
      </c>
      <c r="Q23" s="65" t="s">
        <v>215</v>
      </c>
    </row>
    <row r="24" spans="14:17" x14ac:dyDescent="0.25">
      <c r="N24" s="66">
        <f>Storage</f>
        <v>170</v>
      </c>
      <c r="O24" s="66" t="str">
        <f>stor_name</f>
        <v>Storage Network</v>
      </c>
      <c r="P24" s="66" t="s">
        <v>216</v>
      </c>
      <c r="Q24" s="66" t="s">
        <v>217</v>
      </c>
    </row>
    <row r="25" spans="14:17" x14ac:dyDescent="0.25">
      <c r="N25" s="67">
        <f>CephCluster</f>
        <v>180</v>
      </c>
      <c r="O25" s="67" t="str">
        <f>ceph_clust_name</f>
        <v>Ceph Storage Cluster Vlan</v>
      </c>
      <c r="P25" s="67" t="s">
        <v>218</v>
      </c>
      <c r="Q25" s="67" t="s">
        <v>219</v>
      </c>
    </row>
    <row r="26" spans="14:17" x14ac:dyDescent="0.25">
      <c r="N26" s="68">
        <f>ExtAPI</f>
        <v>1221</v>
      </c>
      <c r="O26" s="68" t="str">
        <f>PubAPI_Name</f>
        <v>Public API Network</v>
      </c>
      <c r="P26" s="68" t="s">
        <v>222</v>
      </c>
      <c r="Q26" s="69" t="s">
        <v>225</v>
      </c>
    </row>
    <row r="27" spans="14:17" x14ac:dyDescent="0.25">
      <c r="N27" s="70">
        <f>EXTTen</f>
        <v>1222</v>
      </c>
      <c r="O27" s="70" t="str">
        <f>Ext_net_name</f>
        <v>External Network for Tenants (floating IP)</v>
      </c>
      <c r="P27" s="70" t="s">
        <v>224</v>
      </c>
      <c r="Q27" s="71" t="s">
        <v>223</v>
      </c>
    </row>
    <row r="28" spans="14:17" x14ac:dyDescent="0.25">
      <c r="N28" s="72" t="str">
        <f>CONCATENATE(TenantBeg,"-",TenantEnd)</f>
        <v>201-250</v>
      </c>
      <c r="O28" s="72" t="str">
        <f>TenTunnelName</f>
        <v>Tenant Tunnel Network</v>
      </c>
      <c r="P28" s="72" t="s">
        <v>221</v>
      </c>
      <c r="Q28" s="72" t="s">
        <v>220</v>
      </c>
    </row>
  </sheetData>
  <mergeCells count="2">
    <mergeCell ref="N14:R14"/>
    <mergeCell ref="N18:O18"/>
  </mergeCells>
  <pageMargins left="0.7" right="0.7" top="0.75" bottom="0.75" header="0.3" footer="0.3"/>
  <pageSetup orientation="portrait" verticalDpi="599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Q40"/>
  <sheetViews>
    <sheetView zoomScale="90" zoomScaleNormal="90" workbookViewId="0">
      <pane ySplit="1" topLeftCell="A2" activePane="bottomLeft" state="frozen"/>
      <selection pane="bottomLeft" activeCell="A26" sqref="A26"/>
    </sheetView>
  </sheetViews>
  <sheetFormatPr defaultRowHeight="15" x14ac:dyDescent="0.25"/>
  <cols>
    <col min="1" max="1" width="15.140625" customWidth="1"/>
    <col min="2" max="3" width="18" bestFit="1" customWidth="1"/>
    <col min="4" max="4" width="18.5703125" bestFit="1" customWidth="1"/>
    <col min="5" max="5" width="34.42578125" customWidth="1"/>
    <col min="6" max="6" width="17.140625" customWidth="1"/>
    <col min="7" max="7" width="20.28515625" customWidth="1"/>
    <col min="8" max="8" width="20" bestFit="1" customWidth="1"/>
    <col min="9" max="9" width="26.5703125" bestFit="1" customWidth="1"/>
    <col min="10" max="10" width="19.85546875" customWidth="1"/>
    <col min="11" max="11" width="30.140625" bestFit="1" customWidth="1"/>
    <col min="12" max="12" width="38.140625" bestFit="1" customWidth="1"/>
    <col min="13" max="13" width="6.85546875" bestFit="1" customWidth="1"/>
    <col min="14" max="14" width="6.5703125" bestFit="1" customWidth="1"/>
    <col min="15" max="15" width="7.85546875" bestFit="1" customWidth="1"/>
    <col min="16" max="16" width="10.42578125" bestFit="1" customWidth="1"/>
    <col min="17" max="17" width="8.140625" bestFit="1" customWidth="1"/>
  </cols>
  <sheetData>
    <row r="1" spans="1:17" ht="45" x14ac:dyDescent="0.25">
      <c r="A1" s="49" t="s">
        <v>22</v>
      </c>
      <c r="B1" s="49" t="s">
        <v>194</v>
      </c>
      <c r="C1" s="49" t="s">
        <v>195</v>
      </c>
      <c r="D1" s="49" t="s">
        <v>196</v>
      </c>
      <c r="E1" s="49" t="str">
        <f>CONCATENATE(PubAPI_Name,"
 ",ExtAPI)</f>
        <v>Public API Network
 1221</v>
      </c>
      <c r="F1" s="49" t="str">
        <f>CONCATENATE(OOB_NAME, "
 ", OOB)</f>
        <v>OOB
 110</v>
      </c>
      <c r="G1" s="49" t="str">
        <f>CONCATENATE(Prov_name, " 
",Provisioner)</f>
        <v>Provisioner 
120</v>
      </c>
      <c r="H1" s="49" t="str">
        <f>CONCATENATE(PrivAPI_name, " 
", PrivAPI)</f>
        <v>Private API 
140</v>
      </c>
      <c r="I1" s="49" t="str">
        <f>CONCATENATE(stor_name, " 
", Storage)</f>
        <v>Storage Network 
170</v>
      </c>
      <c r="J1" s="49" t="str">
        <f>CONCATENATE(ceph_clust_name, "
",CephCluster)</f>
        <v>Ceph Storage Cluster Vlan
180</v>
      </c>
      <c r="K1" s="49" t="str">
        <f>CONCATENATE(Ext_net_name," 
",EXTTen)</f>
        <v>External Network for Tenants (floating IP) 
1222</v>
      </c>
      <c r="L1" s="49" t="s">
        <v>197</v>
      </c>
      <c r="M1" s="49" t="s">
        <v>198</v>
      </c>
      <c r="N1" s="49" t="s">
        <v>199</v>
      </c>
      <c r="O1" s="49" t="s">
        <v>200</v>
      </c>
      <c r="P1" s="49" t="s">
        <v>201</v>
      </c>
      <c r="Q1" s="49" t="s">
        <v>97</v>
      </c>
    </row>
    <row r="2" spans="1:17" ht="24" customHeight="1" thickBot="1" x14ac:dyDescent="0.3">
      <c r="A2" s="49" t="s">
        <v>264</v>
      </c>
      <c r="B2" s="49"/>
      <c r="C2" s="49"/>
      <c r="D2" s="49"/>
      <c r="E2" s="49" t="s">
        <v>263</v>
      </c>
      <c r="F2" s="49" t="s">
        <v>263</v>
      </c>
      <c r="G2" s="49" t="s">
        <v>263</v>
      </c>
      <c r="H2" s="49" t="s">
        <v>263</v>
      </c>
      <c r="I2" s="49" t="s">
        <v>263</v>
      </c>
      <c r="J2" s="49" t="s">
        <v>263</v>
      </c>
      <c r="K2" s="49" t="s">
        <v>263</v>
      </c>
      <c r="L2" s="49"/>
      <c r="M2" s="49"/>
      <c r="N2" s="49"/>
      <c r="O2" s="49"/>
      <c r="P2" s="49"/>
      <c r="Q2" s="49"/>
    </row>
    <row r="3" spans="1:17" ht="15.75" thickBot="1" x14ac:dyDescent="0.3">
      <c r="A3" s="50" t="s">
        <v>226</v>
      </c>
      <c r="B3" s="51"/>
      <c r="C3" s="50" t="s">
        <v>202</v>
      </c>
      <c r="D3" s="50" t="s">
        <v>96</v>
      </c>
      <c r="E3" s="78"/>
      <c r="F3" s="75"/>
      <c r="G3" s="76"/>
      <c r="H3" s="74"/>
      <c r="I3" s="73"/>
      <c r="J3" s="77"/>
      <c r="K3" s="52"/>
      <c r="L3" s="53"/>
      <c r="M3" s="53"/>
      <c r="N3" s="53"/>
      <c r="O3" s="53"/>
      <c r="P3" s="53"/>
      <c r="Q3" s="53"/>
    </row>
    <row r="4" spans="1:17" ht="15.75" thickBot="1" x14ac:dyDescent="0.3">
      <c r="A4" s="50"/>
      <c r="B4" s="51"/>
      <c r="C4" s="50" t="s">
        <v>204</v>
      </c>
      <c r="D4" s="50" t="s">
        <v>96</v>
      </c>
      <c r="E4" s="78"/>
      <c r="F4" s="75"/>
      <c r="G4" s="76"/>
      <c r="H4" s="74"/>
      <c r="I4" s="73"/>
      <c r="J4" s="77"/>
      <c r="K4" s="54"/>
      <c r="L4" s="53"/>
      <c r="M4" s="53"/>
      <c r="N4" s="53"/>
      <c r="O4" s="53"/>
      <c r="P4" s="53"/>
      <c r="Q4" s="53"/>
    </row>
    <row r="5" spans="1:17" ht="15.75" thickBot="1" x14ac:dyDescent="0.3">
      <c r="A5" s="50"/>
      <c r="B5" s="51"/>
      <c r="C5" s="50" t="s">
        <v>204</v>
      </c>
      <c r="D5" s="50" t="s">
        <v>96</v>
      </c>
      <c r="E5" s="78"/>
      <c r="F5" s="75"/>
      <c r="G5" s="76"/>
      <c r="H5" s="74"/>
      <c r="I5" s="73"/>
      <c r="J5" s="79"/>
      <c r="K5" s="52"/>
      <c r="L5" s="53"/>
      <c r="M5" s="53"/>
      <c r="N5" s="53"/>
      <c r="O5" s="53"/>
      <c r="P5" s="53"/>
      <c r="Q5" s="53"/>
    </row>
    <row r="6" spans="1:17" ht="15.75" thickBot="1" x14ac:dyDescent="0.3">
      <c r="A6" s="53" t="s">
        <v>145</v>
      </c>
      <c r="B6" s="53"/>
      <c r="C6" s="53" t="s">
        <v>227</v>
      </c>
      <c r="D6" s="53" t="s">
        <v>261</v>
      </c>
      <c r="E6" s="78"/>
      <c r="F6" s="75"/>
      <c r="G6" s="76"/>
      <c r="H6" s="74"/>
      <c r="I6" s="73"/>
      <c r="J6" s="79"/>
      <c r="K6" s="54"/>
      <c r="L6" s="53"/>
      <c r="M6" s="53"/>
      <c r="N6" s="53"/>
      <c r="O6" s="53"/>
      <c r="P6" s="53"/>
      <c r="Q6" s="53"/>
    </row>
    <row r="7" spans="1:17" ht="15.75" thickBot="1" x14ac:dyDescent="0.3">
      <c r="A7" s="53" t="s">
        <v>270</v>
      </c>
      <c r="B7" s="53"/>
      <c r="C7" s="53" t="s">
        <v>203</v>
      </c>
      <c r="D7" s="53" t="s">
        <v>96</v>
      </c>
      <c r="E7" s="78"/>
      <c r="F7" s="75"/>
      <c r="G7" s="76"/>
      <c r="H7" s="74"/>
      <c r="I7" s="73"/>
      <c r="J7" s="79"/>
      <c r="K7" s="54"/>
      <c r="L7" s="53"/>
      <c r="M7" s="53"/>
      <c r="N7" s="53"/>
      <c r="O7" s="53"/>
      <c r="P7" s="53"/>
      <c r="Q7" s="53"/>
    </row>
    <row r="8" spans="1:17" ht="15.75" thickBot="1" x14ac:dyDescent="0.3">
      <c r="A8" s="53" t="s">
        <v>271</v>
      </c>
      <c r="B8" s="53"/>
      <c r="C8" s="53" t="s">
        <v>203</v>
      </c>
      <c r="D8" s="53" t="s">
        <v>96</v>
      </c>
      <c r="E8" s="78"/>
      <c r="F8" s="75"/>
      <c r="G8" s="76"/>
      <c r="H8" s="74"/>
      <c r="I8" s="73"/>
      <c r="J8" s="79"/>
      <c r="K8" s="54"/>
      <c r="L8" s="53"/>
      <c r="M8" s="53"/>
      <c r="N8" s="53"/>
      <c r="O8" s="53"/>
      <c r="P8" s="53"/>
      <c r="Q8" s="53"/>
    </row>
    <row r="9" spans="1:17" ht="15.75" thickBot="1" x14ac:dyDescent="0.3">
      <c r="A9" s="53" t="s">
        <v>246</v>
      </c>
      <c r="B9" s="53"/>
      <c r="C9" s="53" t="s">
        <v>228</v>
      </c>
      <c r="D9" s="53" t="s">
        <v>261</v>
      </c>
      <c r="E9" s="78"/>
      <c r="F9" s="75"/>
      <c r="G9" s="76"/>
      <c r="H9" s="74"/>
      <c r="I9" s="73"/>
      <c r="J9" s="79"/>
      <c r="K9" s="54"/>
      <c r="L9" s="53"/>
      <c r="M9" s="53"/>
      <c r="N9" s="53"/>
      <c r="O9" s="53"/>
      <c r="P9" s="53"/>
      <c r="Q9" s="53"/>
    </row>
    <row r="10" spans="1:17" ht="15.75" thickBot="1" x14ac:dyDescent="0.3">
      <c r="A10" s="53" t="s">
        <v>247</v>
      </c>
      <c r="B10" s="53"/>
      <c r="C10" s="53" t="s">
        <v>229</v>
      </c>
      <c r="D10" s="53" t="s">
        <v>261</v>
      </c>
      <c r="E10" s="78"/>
      <c r="F10" s="75"/>
      <c r="G10" s="76"/>
      <c r="H10" s="74"/>
      <c r="I10" s="73"/>
      <c r="J10" s="79"/>
      <c r="K10" s="54"/>
      <c r="L10" s="53"/>
      <c r="M10" s="53"/>
      <c r="N10" s="53"/>
      <c r="O10" s="53"/>
      <c r="P10" s="53"/>
      <c r="Q10" s="53"/>
    </row>
    <row r="11" spans="1:17" ht="15.75" thickBot="1" x14ac:dyDescent="0.3">
      <c r="A11" s="53" t="s">
        <v>248</v>
      </c>
      <c r="B11" s="53"/>
      <c r="C11" s="53" t="s">
        <v>230</v>
      </c>
      <c r="D11" s="53" t="s">
        <v>261</v>
      </c>
      <c r="E11" s="78"/>
      <c r="F11" s="75"/>
      <c r="G11" s="76"/>
      <c r="H11" s="74"/>
      <c r="I11" s="73"/>
      <c r="J11" s="79"/>
      <c r="K11" s="54"/>
      <c r="L11" s="53"/>
      <c r="M11" s="53"/>
      <c r="N11" s="53"/>
      <c r="O11" s="53"/>
      <c r="P11" s="53"/>
      <c r="Q11" s="53"/>
    </row>
    <row r="12" spans="1:17" ht="15.75" thickBot="1" x14ac:dyDescent="0.3">
      <c r="A12" s="53" t="s">
        <v>243</v>
      </c>
      <c r="B12" s="53"/>
      <c r="C12" s="53" t="s">
        <v>231</v>
      </c>
      <c r="D12" s="53" t="s">
        <v>261</v>
      </c>
      <c r="E12" s="80"/>
      <c r="F12" s="75"/>
      <c r="G12" s="76"/>
      <c r="H12" s="74"/>
      <c r="I12" s="73"/>
      <c r="J12" s="79"/>
      <c r="K12" s="54"/>
      <c r="L12" s="53"/>
      <c r="M12" s="53"/>
      <c r="N12" s="53"/>
      <c r="O12" s="53"/>
      <c r="P12" s="53"/>
      <c r="Q12" s="53"/>
    </row>
    <row r="13" spans="1:17" ht="15.75" thickBot="1" x14ac:dyDescent="0.3">
      <c r="A13" s="53" t="s">
        <v>244</v>
      </c>
      <c r="B13" s="53"/>
      <c r="C13" s="53" t="s">
        <v>232</v>
      </c>
      <c r="D13" s="53" t="s">
        <v>261</v>
      </c>
      <c r="E13" s="80"/>
      <c r="F13" s="75"/>
      <c r="G13" s="76"/>
      <c r="H13" s="74"/>
      <c r="I13" s="73"/>
      <c r="J13" s="79"/>
      <c r="K13" s="54"/>
      <c r="L13" s="53"/>
      <c r="M13" s="53"/>
      <c r="N13" s="53"/>
      <c r="O13" s="53"/>
      <c r="P13" s="53"/>
      <c r="Q13" s="53"/>
    </row>
    <row r="14" spans="1:17" ht="15.75" thickBot="1" x14ac:dyDescent="0.3">
      <c r="A14" s="53" t="s">
        <v>245</v>
      </c>
      <c r="B14" s="53"/>
      <c r="C14" s="53" t="s">
        <v>233</v>
      </c>
      <c r="D14" s="53" t="s">
        <v>261</v>
      </c>
      <c r="E14" s="80"/>
      <c r="F14" s="75"/>
      <c r="G14" s="76"/>
      <c r="H14" s="74"/>
      <c r="I14" s="73"/>
      <c r="J14" s="79"/>
      <c r="K14" s="54"/>
      <c r="L14" s="53"/>
      <c r="M14" s="53"/>
      <c r="N14" s="53"/>
      <c r="O14" s="53"/>
      <c r="P14" s="53"/>
      <c r="Q14" s="53"/>
    </row>
    <row r="15" spans="1:17" ht="15.75" thickBot="1" x14ac:dyDescent="0.3">
      <c r="A15" s="88"/>
      <c r="B15" s="88"/>
      <c r="C15" s="88"/>
      <c r="D15" s="88"/>
      <c r="E15" s="89"/>
      <c r="F15" s="90"/>
      <c r="G15" s="76"/>
      <c r="H15" s="74"/>
      <c r="I15" s="73"/>
      <c r="J15" s="79"/>
      <c r="K15" s="54"/>
      <c r="L15" s="53"/>
      <c r="M15" s="53"/>
      <c r="N15" s="53"/>
      <c r="O15" s="53"/>
      <c r="P15" s="53"/>
      <c r="Q15" s="53"/>
    </row>
    <row r="16" spans="1:17" ht="15.75" thickBot="1" x14ac:dyDescent="0.3">
      <c r="A16" s="55" t="s">
        <v>139</v>
      </c>
      <c r="B16" s="55"/>
      <c r="C16" s="53" t="s">
        <v>234</v>
      </c>
      <c r="D16" s="53" t="s">
        <v>261</v>
      </c>
      <c r="E16" s="80"/>
      <c r="F16" s="75"/>
      <c r="G16" s="76"/>
      <c r="H16" s="74"/>
      <c r="I16" s="73"/>
      <c r="J16" s="79"/>
      <c r="K16" s="54"/>
      <c r="L16" s="53"/>
      <c r="M16" s="53"/>
      <c r="N16" s="53"/>
      <c r="O16" s="53"/>
      <c r="P16" s="53"/>
      <c r="Q16" s="53"/>
    </row>
    <row r="17" spans="1:17" ht="15.75" thickBot="1" x14ac:dyDescent="0.3">
      <c r="A17" s="55" t="s">
        <v>140</v>
      </c>
      <c r="B17" s="56"/>
      <c r="C17" s="53" t="s">
        <v>235</v>
      </c>
      <c r="D17" s="53" t="s">
        <v>261</v>
      </c>
      <c r="E17" s="80"/>
      <c r="F17" s="75"/>
      <c r="G17" s="76"/>
      <c r="H17" s="74"/>
      <c r="I17" s="73"/>
      <c r="J17" s="79"/>
      <c r="K17" s="54"/>
      <c r="L17" s="53"/>
      <c r="M17" s="53"/>
      <c r="N17" s="53"/>
      <c r="O17" s="53"/>
      <c r="P17" s="53"/>
      <c r="Q17" s="53"/>
    </row>
    <row r="18" spans="1:17" ht="15.75" thickBot="1" x14ac:dyDescent="0.3">
      <c r="A18" s="55" t="s">
        <v>249</v>
      </c>
      <c r="B18" s="56"/>
      <c r="C18" s="53" t="s">
        <v>236</v>
      </c>
      <c r="D18" s="53" t="s">
        <v>261</v>
      </c>
      <c r="E18" s="80"/>
      <c r="F18" s="75"/>
      <c r="G18" s="76"/>
      <c r="H18" s="74"/>
      <c r="I18" s="73"/>
      <c r="J18" s="79"/>
      <c r="K18" s="57"/>
      <c r="L18" s="53"/>
      <c r="M18" s="53"/>
      <c r="N18" s="53"/>
      <c r="O18" s="53"/>
      <c r="P18" s="53"/>
      <c r="Q18" s="53"/>
    </row>
    <row r="19" spans="1:17" s="45" customFormat="1" ht="15.75" thickBot="1" x14ac:dyDescent="0.3">
      <c r="A19" s="91"/>
      <c r="B19" s="91"/>
      <c r="C19" s="91"/>
      <c r="D19" s="91"/>
      <c r="E19" s="92"/>
      <c r="F19" s="81"/>
      <c r="G19" s="82"/>
      <c r="H19" s="83"/>
      <c r="I19" s="84"/>
      <c r="J19" s="85"/>
      <c r="K19" s="58"/>
      <c r="L19" s="55"/>
      <c r="M19" s="55"/>
      <c r="N19" s="55"/>
      <c r="O19" s="55"/>
      <c r="P19" s="55"/>
      <c r="Q19" s="55"/>
    </row>
    <row r="20" spans="1:17" x14ac:dyDescent="0.25">
      <c r="A20" s="53"/>
      <c r="B20" s="53"/>
      <c r="C20" s="53"/>
      <c r="D20" s="53"/>
      <c r="E20" s="95"/>
      <c r="F20" s="81"/>
      <c r="G20" s="81"/>
      <c r="H20" s="53"/>
      <c r="I20" s="53"/>
      <c r="J20" s="53"/>
      <c r="K20" s="53"/>
      <c r="L20" s="53"/>
      <c r="M20" s="53"/>
      <c r="N20" s="53"/>
      <c r="O20" s="53"/>
      <c r="P20" s="53"/>
      <c r="Q20" s="53"/>
    </row>
    <row r="21" spans="1:17" x14ac:dyDescent="0.25">
      <c r="A21" s="56"/>
      <c r="B21" s="56"/>
      <c r="C21" s="56"/>
      <c r="D21" s="55"/>
      <c r="E21" s="86"/>
      <c r="F21" s="81"/>
      <c r="G21" s="81"/>
      <c r="H21" s="53"/>
      <c r="I21" s="53"/>
      <c r="J21" s="53"/>
      <c r="K21" s="53"/>
      <c r="L21" s="53"/>
      <c r="M21" s="53"/>
      <c r="N21" s="53"/>
      <c r="O21" s="53"/>
      <c r="P21" s="53"/>
      <c r="Q21" s="53"/>
    </row>
    <row r="22" spans="1:17" x14ac:dyDescent="0.25">
      <c r="A22" s="56"/>
      <c r="B22" s="56"/>
      <c r="C22" s="93"/>
      <c r="D22" s="56"/>
      <c r="E22" s="86"/>
      <c r="F22" s="81"/>
      <c r="G22" s="81"/>
      <c r="H22" s="53"/>
      <c r="I22" s="53"/>
      <c r="J22" s="53"/>
      <c r="K22" s="53"/>
      <c r="L22" s="53"/>
      <c r="M22" s="53"/>
      <c r="N22" s="53"/>
      <c r="O22" s="53"/>
      <c r="P22" s="53"/>
      <c r="Q22" s="53"/>
    </row>
    <row r="23" spans="1:17" x14ac:dyDescent="0.25">
      <c r="A23" s="55"/>
      <c r="B23" s="55"/>
      <c r="C23" s="55"/>
      <c r="D23" s="55"/>
      <c r="E23" s="94"/>
      <c r="F23" s="81"/>
      <c r="G23" s="81"/>
      <c r="H23" s="53"/>
      <c r="I23" s="53"/>
      <c r="J23" s="53"/>
      <c r="K23" s="53"/>
      <c r="L23" s="53"/>
      <c r="M23" s="53"/>
      <c r="N23" s="53"/>
      <c r="O23" s="53"/>
      <c r="P23" s="53"/>
      <c r="Q23" s="53"/>
    </row>
    <row r="24" spans="1:17" x14ac:dyDescent="0.25">
      <c r="A24" s="56"/>
      <c r="B24" s="56"/>
      <c r="C24" s="86"/>
      <c r="D24" s="56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</row>
    <row r="25" spans="1:17" x14ac:dyDescent="0.25">
      <c r="A25" s="59" t="s">
        <v>262</v>
      </c>
      <c r="B25" s="59"/>
      <c r="C25" s="87" t="s">
        <v>205</v>
      </c>
      <c r="D25" s="59"/>
      <c r="E25" s="59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</row>
    <row r="26" spans="1:17" x14ac:dyDescent="0.25">
      <c r="A26" s="59" t="s">
        <v>269</v>
      </c>
      <c r="B26" s="59"/>
      <c r="C26" s="87" t="s">
        <v>205</v>
      </c>
      <c r="D26" s="59"/>
      <c r="E26" s="59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</row>
    <row r="27" spans="1:17" x14ac:dyDescent="0.25">
      <c r="A27" s="59" t="s">
        <v>190</v>
      </c>
      <c r="B27" s="59"/>
      <c r="C27" s="87" t="s">
        <v>205</v>
      </c>
      <c r="D27" s="59"/>
      <c r="E27" s="59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</row>
    <row r="28" spans="1:17" x14ac:dyDescent="0.25">
      <c r="J28" s="60"/>
    </row>
    <row r="29" spans="1:17" x14ac:dyDescent="0.25">
      <c r="J29" s="60"/>
    </row>
    <row r="30" spans="1:17" x14ac:dyDescent="0.25">
      <c r="J30" s="60"/>
    </row>
    <row r="31" spans="1:17" x14ac:dyDescent="0.25">
      <c r="J31" s="60"/>
      <c r="L31" s="9"/>
      <c r="M31" s="60"/>
      <c r="N31" s="61"/>
    </row>
    <row r="32" spans="1:17" x14ac:dyDescent="0.25">
      <c r="L32" s="9"/>
      <c r="M32" s="60"/>
      <c r="N32" s="61"/>
    </row>
    <row r="33" spans="12:14" x14ac:dyDescent="0.25">
      <c r="L33" s="9"/>
      <c r="M33" s="60"/>
      <c r="N33" s="61"/>
    </row>
    <row r="34" spans="12:14" x14ac:dyDescent="0.25">
      <c r="L34" s="9"/>
      <c r="M34" s="60"/>
      <c r="N34" s="61"/>
    </row>
    <row r="35" spans="12:14" x14ac:dyDescent="0.25">
      <c r="M35" s="60"/>
      <c r="N35" s="61"/>
    </row>
    <row r="36" spans="12:14" x14ac:dyDescent="0.25">
      <c r="L36" s="9"/>
      <c r="M36" s="60"/>
      <c r="N36" s="61"/>
    </row>
    <row r="37" spans="12:14" x14ac:dyDescent="0.25">
      <c r="L37" s="9"/>
      <c r="M37" s="60"/>
      <c r="N37" s="61"/>
    </row>
    <row r="38" spans="12:14" x14ac:dyDescent="0.25">
      <c r="L38" s="9"/>
      <c r="M38" s="60"/>
      <c r="N38" s="61"/>
    </row>
    <row r="39" spans="12:14" x14ac:dyDescent="0.25">
      <c r="L39" s="9"/>
      <c r="M39" s="60"/>
      <c r="N39" s="61"/>
    </row>
    <row r="40" spans="12:14" x14ac:dyDescent="0.25">
      <c r="M40" s="60"/>
    </row>
  </sheetData>
  <printOptions gridLines="1"/>
  <pageMargins left="0.7" right="0.7" top="0.75" bottom="0.75" header="0.3" footer="0.3"/>
  <pageSetup scale="37" fitToHeight="0" orientation="landscape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  <firstFooter>&amp;L&amp;"museo sans for dell,Bold"&amp;KAAAAAA                 Dell - Internal Use - Confidential</first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E2:V57"/>
  <sheetViews>
    <sheetView zoomScale="70" zoomScaleNormal="70" workbookViewId="0">
      <pane ySplit="4" topLeftCell="A5" activePane="bottomLeft" state="frozen"/>
      <selection pane="bottomLeft" activeCell="Q28" sqref="Q28"/>
    </sheetView>
  </sheetViews>
  <sheetFormatPr defaultRowHeight="15.75" x14ac:dyDescent="0.25"/>
  <cols>
    <col min="1" max="4" width="2.85546875" style="101" customWidth="1"/>
    <col min="5" max="5" width="25.42578125" style="101" bestFit="1" customWidth="1"/>
    <col min="6" max="6" width="20" style="101" bestFit="1" customWidth="1"/>
    <col min="7" max="7" width="21.5703125" style="101" bestFit="1" customWidth="1"/>
    <col min="8" max="8" width="25.42578125" style="101" bestFit="1" customWidth="1"/>
    <col min="9" max="9" width="5" style="101" bestFit="1" customWidth="1"/>
    <col min="10" max="10" width="14" style="101" bestFit="1" customWidth="1"/>
    <col min="11" max="11" width="20.28515625" style="101" bestFit="1" customWidth="1"/>
    <col min="12" max="12" width="6.85546875" style="101" bestFit="1" customWidth="1"/>
    <col min="13" max="13" width="12.85546875" style="101" bestFit="1" customWidth="1"/>
    <col min="14" max="14" width="3.85546875" style="101" bestFit="1" customWidth="1"/>
    <col min="15" max="15" width="7.140625" style="101" bestFit="1" customWidth="1"/>
    <col min="16" max="16" width="5.85546875" style="101" customWidth="1"/>
    <col min="17" max="17" width="18.85546875" style="101" bestFit="1" customWidth="1"/>
    <col min="18" max="18" width="41.42578125" style="101" bestFit="1" customWidth="1"/>
    <col min="19" max="19" width="14.42578125" style="101" bestFit="1" customWidth="1"/>
    <col min="20" max="21" width="9.42578125" style="101" customWidth="1"/>
    <col min="22" max="24" width="5.85546875" style="101" customWidth="1"/>
    <col min="25" max="16384" width="9.140625" style="101"/>
  </cols>
  <sheetData>
    <row r="2" spans="5:22" x14ac:dyDescent="0.25">
      <c r="E2" s="144" t="s">
        <v>193</v>
      </c>
      <c r="F2" s="144"/>
      <c r="G2" s="144"/>
      <c r="H2" s="144"/>
      <c r="I2" s="144"/>
      <c r="J2" s="144"/>
      <c r="K2" s="144"/>
      <c r="L2" s="144"/>
      <c r="M2" s="144"/>
      <c r="N2" s="144"/>
      <c r="O2" s="144"/>
      <c r="V2" s="110"/>
    </row>
    <row r="3" spans="5:22" x14ac:dyDescent="0.25">
      <c r="E3" s="149" t="s">
        <v>1</v>
      </c>
      <c r="F3" s="145"/>
      <c r="G3" s="145" t="s">
        <v>12</v>
      </c>
      <c r="H3" s="145"/>
      <c r="I3" s="97"/>
      <c r="J3" s="150" t="s">
        <v>155</v>
      </c>
      <c r="K3" s="151"/>
      <c r="L3" s="152"/>
      <c r="M3" s="96"/>
      <c r="N3" s="145" t="s">
        <v>9</v>
      </c>
      <c r="O3" s="146"/>
      <c r="Q3" s="116" t="s">
        <v>17</v>
      </c>
      <c r="R3" s="117"/>
      <c r="S3" s="118"/>
      <c r="T3" s="110"/>
    </row>
    <row r="4" spans="5:22" x14ac:dyDescent="0.25">
      <c r="E4" s="129" t="s">
        <v>22</v>
      </c>
      <c r="F4" s="130" t="s">
        <v>23</v>
      </c>
      <c r="G4" s="131" t="s">
        <v>15</v>
      </c>
      <c r="H4" s="131" t="s">
        <v>11</v>
      </c>
      <c r="I4" s="132">
        <f>OOB</f>
        <v>110</v>
      </c>
      <c r="J4" s="132" t="s">
        <v>156</v>
      </c>
      <c r="K4" s="132" t="s">
        <v>157</v>
      </c>
      <c r="L4" s="132" t="s">
        <v>158</v>
      </c>
      <c r="M4" s="132" t="s">
        <v>185</v>
      </c>
      <c r="N4" s="131" t="s">
        <v>13</v>
      </c>
      <c r="O4" s="131" t="s">
        <v>14</v>
      </c>
      <c r="Q4" s="114" t="s">
        <v>16</v>
      </c>
      <c r="R4" s="115"/>
      <c r="S4" s="115"/>
      <c r="T4" s="110"/>
    </row>
    <row r="5" spans="5:22" x14ac:dyDescent="0.25">
      <c r="E5" s="110" t="s">
        <v>327</v>
      </c>
      <c r="F5" s="133" t="s">
        <v>241</v>
      </c>
      <c r="G5" s="110" t="s">
        <v>145</v>
      </c>
      <c r="H5" s="110" t="s">
        <v>141</v>
      </c>
      <c r="I5" s="107" t="s">
        <v>240</v>
      </c>
      <c r="J5" s="107" t="s">
        <v>160</v>
      </c>
      <c r="K5" s="111" t="s">
        <v>162</v>
      </c>
      <c r="L5" s="111">
        <v>9216</v>
      </c>
      <c r="M5" s="111" t="s">
        <v>161</v>
      </c>
      <c r="N5" s="107" t="s">
        <v>3</v>
      </c>
      <c r="O5" s="107" t="s">
        <v>3</v>
      </c>
      <c r="Q5" s="116" t="s">
        <v>7</v>
      </c>
      <c r="R5" s="115"/>
      <c r="S5" s="115"/>
      <c r="T5" s="110"/>
    </row>
    <row r="6" spans="5:22" x14ac:dyDescent="0.25">
      <c r="E6" s="110" t="s">
        <v>328</v>
      </c>
      <c r="F6" s="133" t="s">
        <v>241</v>
      </c>
      <c r="G6" s="110" t="s">
        <v>246</v>
      </c>
      <c r="H6" s="110" t="s">
        <v>141</v>
      </c>
      <c r="I6" s="107" t="s">
        <v>240</v>
      </c>
      <c r="J6" s="107" t="s">
        <v>160</v>
      </c>
      <c r="K6" s="111" t="s">
        <v>162</v>
      </c>
      <c r="L6" s="111">
        <v>9216</v>
      </c>
      <c r="M6" s="111" t="s">
        <v>161</v>
      </c>
      <c r="N6" s="107" t="s">
        <v>3</v>
      </c>
      <c r="O6" s="107" t="s">
        <v>3</v>
      </c>
      <c r="Q6" s="114" t="s">
        <v>30</v>
      </c>
      <c r="R6" s="115"/>
      <c r="S6" s="115"/>
      <c r="T6" s="110"/>
    </row>
    <row r="7" spans="5:22" x14ac:dyDescent="0.25">
      <c r="E7" s="110" t="s">
        <v>329</v>
      </c>
      <c r="F7" s="133" t="s">
        <v>241</v>
      </c>
      <c r="G7" s="110" t="s">
        <v>247</v>
      </c>
      <c r="H7" s="110" t="s">
        <v>141</v>
      </c>
      <c r="I7" s="107" t="s">
        <v>240</v>
      </c>
      <c r="J7" s="107" t="s">
        <v>160</v>
      </c>
      <c r="K7" s="111" t="s">
        <v>162</v>
      </c>
      <c r="L7" s="111">
        <v>9216</v>
      </c>
      <c r="M7" s="111" t="s">
        <v>161</v>
      </c>
      <c r="N7" s="107" t="s">
        <v>3</v>
      </c>
      <c r="O7" s="107" t="s">
        <v>3</v>
      </c>
      <c r="T7" s="110"/>
    </row>
    <row r="8" spans="5:22" x14ac:dyDescent="0.25">
      <c r="E8" s="110" t="s">
        <v>330</v>
      </c>
      <c r="F8" s="133" t="s">
        <v>241</v>
      </c>
      <c r="G8" s="110" t="s">
        <v>248</v>
      </c>
      <c r="H8" s="110" t="s">
        <v>141</v>
      </c>
      <c r="I8" s="107" t="s">
        <v>240</v>
      </c>
      <c r="J8" s="107" t="s">
        <v>160</v>
      </c>
      <c r="K8" s="111" t="s">
        <v>162</v>
      </c>
      <c r="L8" s="111">
        <v>9216</v>
      </c>
      <c r="M8" s="111" t="s">
        <v>161</v>
      </c>
      <c r="N8" s="107" t="s">
        <v>3</v>
      </c>
      <c r="O8" s="107" t="s">
        <v>3</v>
      </c>
      <c r="Q8" s="113" t="s">
        <v>98</v>
      </c>
      <c r="R8" s="119" t="s">
        <v>152</v>
      </c>
      <c r="S8" s="119"/>
      <c r="T8" s="110"/>
    </row>
    <row r="9" spans="5:22" x14ac:dyDescent="0.25">
      <c r="E9" s="110" t="s">
        <v>331</v>
      </c>
      <c r="F9" s="133" t="s">
        <v>241</v>
      </c>
      <c r="G9" s="105" t="s">
        <v>265</v>
      </c>
      <c r="H9" s="110" t="s">
        <v>141</v>
      </c>
      <c r="I9" s="107" t="s">
        <v>240</v>
      </c>
      <c r="J9" s="107" t="s">
        <v>160</v>
      </c>
      <c r="K9" s="111" t="s">
        <v>162</v>
      </c>
      <c r="L9" s="111">
        <v>9216</v>
      </c>
      <c r="M9" s="111" t="s">
        <v>161</v>
      </c>
      <c r="N9" s="107" t="s">
        <v>3</v>
      </c>
      <c r="O9" s="107" t="s">
        <v>3</v>
      </c>
      <c r="Q9" s="120" t="s">
        <v>18</v>
      </c>
      <c r="R9" s="115"/>
      <c r="S9" s="115"/>
      <c r="T9" s="110"/>
    </row>
    <row r="10" spans="5:22" x14ac:dyDescent="0.25">
      <c r="E10" s="110" t="s">
        <v>332</v>
      </c>
      <c r="F10" s="133" t="s">
        <v>241</v>
      </c>
      <c r="G10" s="105" t="s">
        <v>266</v>
      </c>
      <c r="H10" s="110" t="s">
        <v>141</v>
      </c>
      <c r="I10" s="107" t="s">
        <v>240</v>
      </c>
      <c r="J10" s="107" t="s">
        <v>160</v>
      </c>
      <c r="K10" s="111" t="s">
        <v>162</v>
      </c>
      <c r="L10" s="111">
        <v>9216</v>
      </c>
      <c r="M10" s="111" t="s">
        <v>161</v>
      </c>
      <c r="N10" s="107" t="s">
        <v>3</v>
      </c>
      <c r="O10" s="107" t="s">
        <v>3</v>
      </c>
      <c r="Q10" s="113" t="s">
        <v>19</v>
      </c>
      <c r="R10" s="115">
        <v>24576</v>
      </c>
      <c r="S10" s="115"/>
      <c r="T10" s="110"/>
    </row>
    <row r="11" spans="5:22" x14ac:dyDescent="0.25">
      <c r="E11" s="110" t="s">
        <v>333</v>
      </c>
      <c r="F11" s="133" t="s">
        <v>241</v>
      </c>
      <c r="G11" s="105" t="s">
        <v>267</v>
      </c>
      <c r="H11" s="110" t="s">
        <v>141</v>
      </c>
      <c r="I11" s="107" t="s">
        <v>240</v>
      </c>
      <c r="J11" s="107" t="s">
        <v>160</v>
      </c>
      <c r="K11" s="111" t="s">
        <v>162</v>
      </c>
      <c r="L11" s="111">
        <v>9216</v>
      </c>
      <c r="M11" s="111" t="s">
        <v>161</v>
      </c>
      <c r="N11" s="107" t="s">
        <v>3</v>
      </c>
      <c r="O11" s="107" t="s">
        <v>3</v>
      </c>
      <c r="T11" s="110"/>
    </row>
    <row r="12" spans="5:22" x14ac:dyDescent="0.25">
      <c r="E12" s="110" t="s">
        <v>334</v>
      </c>
      <c r="F12" s="133" t="s">
        <v>2</v>
      </c>
      <c r="G12" s="105"/>
      <c r="H12" s="105"/>
      <c r="I12" s="107"/>
      <c r="J12" s="107" t="s">
        <v>147</v>
      </c>
      <c r="K12" s="111"/>
      <c r="L12" s="111"/>
      <c r="M12" s="111"/>
      <c r="N12" s="107" t="s">
        <v>3</v>
      </c>
      <c r="O12" s="107" t="s">
        <v>3</v>
      </c>
      <c r="Q12" s="113" t="s">
        <v>21</v>
      </c>
      <c r="R12" s="119" t="s">
        <v>153</v>
      </c>
      <c r="S12" s="119"/>
      <c r="T12" s="110"/>
    </row>
    <row r="13" spans="5:22" x14ac:dyDescent="0.25">
      <c r="E13" s="110" t="s">
        <v>335</v>
      </c>
      <c r="F13" s="133" t="s">
        <v>2</v>
      </c>
      <c r="G13" s="105"/>
      <c r="H13" s="105"/>
      <c r="I13" s="107"/>
      <c r="J13" s="107" t="s">
        <v>147</v>
      </c>
      <c r="K13" s="111"/>
      <c r="L13" s="111"/>
      <c r="M13" s="111"/>
      <c r="N13" s="107" t="s">
        <v>3</v>
      </c>
      <c r="O13" s="107" t="s">
        <v>3</v>
      </c>
      <c r="T13" s="110"/>
    </row>
    <row r="14" spans="5:22" x14ac:dyDescent="0.25">
      <c r="E14" s="110" t="s">
        <v>336</v>
      </c>
      <c r="F14" s="133" t="s">
        <v>2</v>
      </c>
      <c r="G14" s="105"/>
      <c r="H14" s="105"/>
      <c r="I14" s="107"/>
      <c r="J14" s="107" t="s">
        <v>147</v>
      </c>
      <c r="K14" s="111"/>
      <c r="L14" s="111"/>
      <c r="M14" s="111"/>
      <c r="N14" s="107" t="s">
        <v>3</v>
      </c>
      <c r="O14" s="107" t="s">
        <v>3</v>
      </c>
      <c r="Q14" s="121" t="s">
        <v>29</v>
      </c>
      <c r="R14" s="122"/>
      <c r="S14" s="122"/>
      <c r="T14" s="110"/>
    </row>
    <row r="15" spans="5:22" x14ac:dyDescent="0.25">
      <c r="E15" s="110" t="s">
        <v>337</v>
      </c>
      <c r="F15" s="133" t="s">
        <v>2</v>
      </c>
      <c r="G15" s="105"/>
      <c r="H15" s="105"/>
      <c r="I15" s="107"/>
      <c r="J15" s="107" t="s">
        <v>147</v>
      </c>
      <c r="K15" s="111"/>
      <c r="L15" s="111"/>
      <c r="M15" s="111"/>
      <c r="N15" s="107" t="s">
        <v>3</v>
      </c>
      <c r="O15" s="107" t="s">
        <v>3</v>
      </c>
      <c r="Q15" s="123"/>
      <c r="R15" s="124"/>
      <c r="S15" s="124"/>
      <c r="T15" s="110"/>
    </row>
    <row r="16" spans="5:22" x14ac:dyDescent="0.25">
      <c r="E16" s="110" t="s">
        <v>338</v>
      </c>
      <c r="F16" s="133" t="s">
        <v>241</v>
      </c>
      <c r="G16" s="105" t="s">
        <v>139</v>
      </c>
      <c r="H16" s="110" t="s">
        <v>141</v>
      </c>
      <c r="I16" s="107" t="s">
        <v>240</v>
      </c>
      <c r="J16" s="107" t="s">
        <v>160</v>
      </c>
      <c r="K16" s="111" t="s">
        <v>162</v>
      </c>
      <c r="L16" s="111">
        <v>9216</v>
      </c>
      <c r="M16" s="111" t="s">
        <v>161</v>
      </c>
      <c r="N16" s="107" t="s">
        <v>3</v>
      </c>
      <c r="O16" s="107" t="s">
        <v>3</v>
      </c>
      <c r="Q16" s="121"/>
      <c r="R16" s="122"/>
      <c r="S16" s="122"/>
      <c r="T16" s="110"/>
    </row>
    <row r="17" spans="5:22" x14ac:dyDescent="0.25">
      <c r="E17" s="110" t="s">
        <v>339</v>
      </c>
      <c r="F17" s="133" t="s">
        <v>241</v>
      </c>
      <c r="G17" s="105" t="s">
        <v>140</v>
      </c>
      <c r="H17" s="110" t="s">
        <v>141</v>
      </c>
      <c r="I17" s="107" t="s">
        <v>240</v>
      </c>
      <c r="J17" s="107" t="s">
        <v>160</v>
      </c>
      <c r="K17" s="111" t="s">
        <v>162</v>
      </c>
      <c r="L17" s="111">
        <v>9216</v>
      </c>
      <c r="M17" s="111" t="s">
        <v>161</v>
      </c>
      <c r="N17" s="107" t="s">
        <v>3</v>
      </c>
      <c r="O17" s="107" t="s">
        <v>3</v>
      </c>
      <c r="Q17" s="123"/>
      <c r="R17" s="124"/>
      <c r="S17" s="124"/>
      <c r="T17" s="110"/>
    </row>
    <row r="18" spans="5:22" x14ac:dyDescent="0.25">
      <c r="E18" s="110" t="s">
        <v>340</v>
      </c>
      <c r="F18" s="133" t="s">
        <v>241</v>
      </c>
      <c r="G18" s="105" t="s">
        <v>249</v>
      </c>
      <c r="H18" s="110" t="s">
        <v>141</v>
      </c>
      <c r="I18" s="107" t="s">
        <v>240</v>
      </c>
      <c r="J18" s="107" t="s">
        <v>160</v>
      </c>
      <c r="K18" s="111" t="s">
        <v>162</v>
      </c>
      <c r="L18" s="111">
        <v>9216</v>
      </c>
      <c r="M18" s="111" t="s">
        <v>161</v>
      </c>
      <c r="N18" s="107" t="s">
        <v>3</v>
      </c>
      <c r="O18" s="107" t="s">
        <v>3</v>
      </c>
      <c r="Q18" s="121"/>
      <c r="R18" s="122"/>
      <c r="S18" s="122"/>
      <c r="T18" s="110"/>
    </row>
    <row r="19" spans="5:22" x14ac:dyDescent="0.25">
      <c r="E19" s="110" t="s">
        <v>341</v>
      </c>
      <c r="F19" s="133" t="s">
        <v>2</v>
      </c>
      <c r="G19" s="105"/>
      <c r="H19" s="105"/>
      <c r="I19" s="107"/>
      <c r="J19" s="107" t="s">
        <v>147</v>
      </c>
      <c r="K19" s="111"/>
      <c r="L19" s="111"/>
      <c r="M19" s="111"/>
      <c r="N19" s="107" t="s">
        <v>3</v>
      </c>
      <c r="O19" s="107" t="s">
        <v>3</v>
      </c>
      <c r="V19" s="110"/>
    </row>
    <row r="20" spans="5:22" x14ac:dyDescent="0.25">
      <c r="E20" s="110" t="s">
        <v>342</v>
      </c>
      <c r="F20" s="133" t="s">
        <v>2</v>
      </c>
      <c r="G20" s="105"/>
      <c r="H20" s="105"/>
      <c r="I20" s="107"/>
      <c r="J20" s="107" t="s">
        <v>147</v>
      </c>
      <c r="K20" s="111"/>
      <c r="L20" s="111"/>
      <c r="M20" s="111"/>
      <c r="N20" s="107" t="s">
        <v>3</v>
      </c>
      <c r="O20" s="107" t="s">
        <v>3</v>
      </c>
      <c r="Q20" s="147" t="s">
        <v>8</v>
      </c>
      <c r="R20" s="148"/>
      <c r="S20" s="125" t="s">
        <v>143</v>
      </c>
    </row>
    <row r="21" spans="5:22" x14ac:dyDescent="0.25">
      <c r="E21" s="110" t="s">
        <v>343</v>
      </c>
      <c r="F21" s="133" t="s">
        <v>2</v>
      </c>
      <c r="G21" s="110"/>
      <c r="H21" s="105"/>
      <c r="I21" s="107"/>
      <c r="J21" s="107" t="s">
        <v>147</v>
      </c>
      <c r="K21" s="111"/>
      <c r="L21" s="111"/>
      <c r="M21" s="111"/>
      <c r="N21" s="107" t="s">
        <v>3</v>
      </c>
      <c r="O21" s="107" t="s">
        <v>3</v>
      </c>
      <c r="Q21" s="101" t="s">
        <v>28</v>
      </c>
      <c r="R21" s="101" t="s">
        <v>0</v>
      </c>
      <c r="S21" s="101" t="s">
        <v>143</v>
      </c>
    </row>
    <row r="22" spans="5:22" x14ac:dyDescent="0.25">
      <c r="E22" s="110" t="s">
        <v>344</v>
      </c>
      <c r="F22" s="133" t="s">
        <v>2</v>
      </c>
      <c r="G22" s="110"/>
      <c r="H22" s="105"/>
      <c r="I22" s="107"/>
      <c r="J22" s="107" t="s">
        <v>147</v>
      </c>
      <c r="K22" s="111"/>
      <c r="L22" s="111"/>
      <c r="M22" s="111"/>
      <c r="N22" s="107" t="s">
        <v>3</v>
      </c>
      <c r="O22" s="107" t="s">
        <v>3</v>
      </c>
      <c r="Q22" s="101">
        <f>OOB</f>
        <v>110</v>
      </c>
      <c r="R22" s="101" t="str">
        <f>OOB_NAME</f>
        <v>OOB</v>
      </c>
      <c r="S22" s="101" t="s">
        <v>20</v>
      </c>
    </row>
    <row r="23" spans="5:22" x14ac:dyDescent="0.25">
      <c r="E23" s="110" t="s">
        <v>345</v>
      </c>
      <c r="F23" s="133" t="s">
        <v>2</v>
      </c>
      <c r="G23" s="110"/>
      <c r="H23" s="105"/>
      <c r="I23" s="107"/>
      <c r="J23" s="107" t="s">
        <v>147</v>
      </c>
      <c r="K23" s="111"/>
      <c r="L23" s="111"/>
      <c r="M23" s="111"/>
      <c r="N23" s="107" t="s">
        <v>3</v>
      </c>
      <c r="O23" s="107" t="s">
        <v>3</v>
      </c>
      <c r="Q23" s="101">
        <f>Provisioner</f>
        <v>120</v>
      </c>
      <c r="R23" s="101" t="str">
        <f>Prov_name</f>
        <v>Provisioner</v>
      </c>
      <c r="S23" s="101" t="s">
        <v>20</v>
      </c>
    </row>
    <row r="24" spans="5:22" x14ac:dyDescent="0.25">
      <c r="E24" s="110" t="s">
        <v>346</v>
      </c>
      <c r="F24" s="133" t="s">
        <v>2</v>
      </c>
      <c r="G24" s="110"/>
      <c r="H24" s="105"/>
      <c r="I24" s="107"/>
      <c r="J24" s="107" t="s">
        <v>147</v>
      </c>
      <c r="K24" s="111"/>
      <c r="L24" s="111"/>
      <c r="M24" s="111"/>
      <c r="N24" s="107" t="s">
        <v>3</v>
      </c>
      <c r="O24" s="107" t="s">
        <v>3</v>
      </c>
      <c r="Q24" s="101">
        <f>PrivAPI</f>
        <v>140</v>
      </c>
      <c r="R24" s="101" t="str">
        <f>PrivAPI_name</f>
        <v>Private API</v>
      </c>
      <c r="S24" s="101" t="s">
        <v>153</v>
      </c>
    </row>
    <row r="25" spans="5:22" x14ac:dyDescent="0.25">
      <c r="E25" s="110" t="s">
        <v>347</v>
      </c>
      <c r="F25" s="133" t="s">
        <v>2</v>
      </c>
      <c r="G25" s="105"/>
      <c r="H25" s="105"/>
      <c r="I25" s="107"/>
      <c r="J25" s="107" t="s">
        <v>147</v>
      </c>
      <c r="K25" s="111"/>
      <c r="L25" s="111"/>
      <c r="M25" s="111"/>
      <c r="N25" s="107" t="s">
        <v>3</v>
      </c>
      <c r="O25" s="107" t="s">
        <v>3</v>
      </c>
      <c r="Q25" s="101">
        <f>Storage</f>
        <v>170</v>
      </c>
      <c r="R25" s="114" t="str">
        <f>stor_name</f>
        <v>Storage Network</v>
      </c>
      <c r="S25" s="101" t="s">
        <v>153</v>
      </c>
    </row>
    <row r="26" spans="5:22" x14ac:dyDescent="0.25">
      <c r="E26" s="110" t="s">
        <v>348</v>
      </c>
      <c r="F26" s="133" t="s">
        <v>2</v>
      </c>
      <c r="G26" s="105"/>
      <c r="H26" s="105"/>
      <c r="I26" s="107"/>
      <c r="J26" s="107" t="s">
        <v>147</v>
      </c>
      <c r="K26" s="111"/>
      <c r="L26" s="111"/>
      <c r="M26" s="111"/>
      <c r="N26" s="107" t="s">
        <v>3</v>
      </c>
      <c r="O26" s="107" t="s">
        <v>3</v>
      </c>
      <c r="Q26" s="101">
        <f>CephCluster</f>
        <v>180</v>
      </c>
      <c r="R26" s="101" t="str">
        <f>ceph_clust_name</f>
        <v>Ceph Storage Cluster Vlan</v>
      </c>
      <c r="S26" s="101" t="s">
        <v>153</v>
      </c>
    </row>
    <row r="27" spans="5:22" x14ac:dyDescent="0.25">
      <c r="E27" s="110" t="s">
        <v>349</v>
      </c>
      <c r="F27" s="133" t="s">
        <v>2</v>
      </c>
      <c r="G27" s="105"/>
      <c r="H27" s="105"/>
      <c r="I27" s="107"/>
      <c r="J27" s="107" t="s">
        <v>147</v>
      </c>
      <c r="K27" s="111"/>
      <c r="L27" s="111"/>
      <c r="M27" s="111"/>
      <c r="N27" s="107" t="s">
        <v>3</v>
      </c>
      <c r="O27" s="107" t="s">
        <v>3</v>
      </c>
      <c r="Q27" s="101">
        <f>ExtAPI</f>
        <v>1221</v>
      </c>
      <c r="R27" s="101" t="str">
        <f>PubAPI_Name</f>
        <v>Public API Network</v>
      </c>
      <c r="S27" s="101" t="s">
        <v>20</v>
      </c>
    </row>
    <row r="28" spans="5:22" x14ac:dyDescent="0.25">
      <c r="E28" s="110" t="s">
        <v>350</v>
      </c>
      <c r="F28" s="133" t="s">
        <v>2</v>
      </c>
      <c r="G28" s="105"/>
      <c r="H28" s="105"/>
      <c r="I28" s="107"/>
      <c r="J28" s="107" t="s">
        <v>147</v>
      </c>
      <c r="K28" s="111"/>
      <c r="L28" s="111"/>
      <c r="M28" s="111"/>
      <c r="N28" s="107" t="s">
        <v>3</v>
      </c>
      <c r="O28" s="107" t="s">
        <v>3</v>
      </c>
      <c r="Q28" s="101">
        <f>EXTTen</f>
        <v>1222</v>
      </c>
      <c r="R28" s="101" t="str">
        <f>Ext_net_name</f>
        <v>External Network for Tenants (floating IP)</v>
      </c>
      <c r="S28" s="101" t="s">
        <v>153</v>
      </c>
    </row>
    <row r="29" spans="5:22" x14ac:dyDescent="0.25">
      <c r="E29" s="110" t="s">
        <v>351</v>
      </c>
      <c r="F29" s="133" t="s">
        <v>2</v>
      </c>
      <c r="G29" s="105"/>
      <c r="H29" s="105"/>
      <c r="I29" s="107"/>
      <c r="J29" s="107" t="s">
        <v>147</v>
      </c>
      <c r="K29" s="111"/>
      <c r="L29" s="111"/>
      <c r="M29" s="111"/>
      <c r="N29" s="107" t="s">
        <v>3</v>
      </c>
      <c r="O29" s="107" t="s">
        <v>3</v>
      </c>
      <c r="Q29" s="101" t="str">
        <f>CONCATENATE(TenantBeg,"-",TenantEnd)</f>
        <v>201-250</v>
      </c>
      <c r="R29" s="101" t="s">
        <v>146</v>
      </c>
      <c r="S29" s="101" t="s">
        <v>153</v>
      </c>
    </row>
    <row r="30" spans="5:22" x14ac:dyDescent="0.25">
      <c r="E30" s="110" t="s">
        <v>352</v>
      </c>
      <c r="F30" s="133" t="s">
        <v>2</v>
      </c>
      <c r="G30" s="105"/>
      <c r="H30" s="105"/>
      <c r="I30" s="107"/>
      <c r="J30" s="107" t="s">
        <v>147</v>
      </c>
      <c r="K30" s="111"/>
      <c r="L30" s="111"/>
      <c r="M30" s="111"/>
      <c r="N30" s="107" t="s">
        <v>3</v>
      </c>
      <c r="O30" s="107" t="s">
        <v>3</v>
      </c>
      <c r="Q30" s="153" t="s">
        <v>24</v>
      </c>
      <c r="R30" s="154"/>
      <c r="S30" s="125"/>
    </row>
    <row r="31" spans="5:22" x14ac:dyDescent="0.25">
      <c r="E31" s="110" t="s">
        <v>353</v>
      </c>
      <c r="F31" s="133" t="s">
        <v>2</v>
      </c>
      <c r="G31" s="105"/>
      <c r="H31" s="105"/>
      <c r="I31" s="107"/>
      <c r="J31" s="107" t="s">
        <v>147</v>
      </c>
      <c r="K31" s="111"/>
      <c r="L31" s="111"/>
      <c r="M31" s="111"/>
      <c r="N31" s="107" t="s">
        <v>3</v>
      </c>
      <c r="O31" s="107" t="s">
        <v>3</v>
      </c>
      <c r="Q31" s="101" t="s">
        <v>1</v>
      </c>
      <c r="R31" s="101" t="s">
        <v>25</v>
      </c>
      <c r="S31" s="101" t="s">
        <v>143</v>
      </c>
    </row>
    <row r="32" spans="5:22" x14ac:dyDescent="0.25">
      <c r="E32" s="110" t="s">
        <v>354</v>
      </c>
      <c r="F32" s="133" t="s">
        <v>2</v>
      </c>
      <c r="G32" s="105"/>
      <c r="H32" s="105"/>
      <c r="I32" s="107"/>
      <c r="J32" s="107" t="s">
        <v>147</v>
      </c>
      <c r="K32" s="111"/>
      <c r="L32" s="111"/>
      <c r="M32" s="111"/>
      <c r="N32" s="107" t="s">
        <v>3</v>
      </c>
      <c r="O32" s="107" t="s">
        <v>3</v>
      </c>
      <c r="Q32" s="101" t="s">
        <v>184</v>
      </c>
      <c r="R32" s="126"/>
      <c r="S32" s="101" t="s">
        <v>20</v>
      </c>
    </row>
    <row r="33" spans="5:19" ht="14.45" customHeight="1" x14ac:dyDescent="0.25">
      <c r="E33" s="110" t="s">
        <v>355</v>
      </c>
      <c r="F33" s="133" t="s">
        <v>2</v>
      </c>
      <c r="G33" s="105"/>
      <c r="H33" s="105"/>
      <c r="I33" s="107"/>
      <c r="J33" s="107" t="s">
        <v>147</v>
      </c>
      <c r="K33" s="111"/>
      <c r="L33" s="111"/>
      <c r="M33" s="111"/>
      <c r="N33" s="107" t="s">
        <v>3</v>
      </c>
      <c r="O33" s="107" t="s">
        <v>3</v>
      </c>
      <c r="Q33" s="101">
        <f>OOB</f>
        <v>110</v>
      </c>
      <c r="R33" s="126"/>
      <c r="S33" s="101" t="s">
        <v>144</v>
      </c>
    </row>
    <row r="34" spans="5:19" x14ac:dyDescent="0.25">
      <c r="E34" s="110" t="s">
        <v>356</v>
      </c>
      <c r="F34" s="133" t="s">
        <v>2</v>
      </c>
      <c r="G34" s="105"/>
      <c r="H34" s="105"/>
      <c r="I34" s="107"/>
      <c r="J34" s="107" t="s">
        <v>147</v>
      </c>
      <c r="K34" s="111"/>
      <c r="L34" s="111"/>
      <c r="M34" s="111"/>
      <c r="N34" s="107" t="s">
        <v>3</v>
      </c>
      <c r="O34" s="107" t="s">
        <v>3</v>
      </c>
      <c r="Q34" s="101">
        <f>Provisioner</f>
        <v>120</v>
      </c>
      <c r="R34" s="126"/>
      <c r="S34" s="101" t="s">
        <v>144</v>
      </c>
    </row>
    <row r="35" spans="5:19" x14ac:dyDescent="0.25">
      <c r="E35" s="110" t="s">
        <v>357</v>
      </c>
      <c r="F35" s="133" t="s">
        <v>2</v>
      </c>
      <c r="G35" s="105"/>
      <c r="H35" s="105"/>
      <c r="I35" s="107"/>
      <c r="J35" s="107" t="s">
        <v>147</v>
      </c>
      <c r="K35" s="111"/>
      <c r="L35" s="111"/>
      <c r="M35" s="111"/>
      <c r="N35" s="107" t="s">
        <v>3</v>
      </c>
      <c r="O35" s="107" t="s">
        <v>3</v>
      </c>
      <c r="Q35" s="101">
        <f>PrivAPI</f>
        <v>140</v>
      </c>
      <c r="R35" s="126"/>
      <c r="S35" s="101" t="s">
        <v>153</v>
      </c>
    </row>
    <row r="36" spans="5:19" ht="14.45" customHeight="1" x14ac:dyDescent="0.25">
      <c r="E36" s="110" t="s">
        <v>358</v>
      </c>
      <c r="F36" s="133" t="s">
        <v>2</v>
      </c>
      <c r="G36" s="105"/>
      <c r="H36" s="105"/>
      <c r="I36" s="107"/>
      <c r="J36" s="107" t="s">
        <v>147</v>
      </c>
      <c r="K36" s="111"/>
      <c r="L36" s="111"/>
      <c r="M36" s="111"/>
      <c r="N36" s="107" t="s">
        <v>3</v>
      </c>
      <c r="O36" s="107" t="s">
        <v>3</v>
      </c>
      <c r="Q36" s="101">
        <f>Storage</f>
        <v>170</v>
      </c>
      <c r="R36" s="126"/>
      <c r="S36" s="101" t="s">
        <v>153</v>
      </c>
    </row>
    <row r="37" spans="5:19" x14ac:dyDescent="0.25">
      <c r="E37" s="110" t="s">
        <v>359</v>
      </c>
      <c r="F37" s="133" t="s">
        <v>2</v>
      </c>
      <c r="G37" s="105"/>
      <c r="H37" s="105"/>
      <c r="I37" s="107"/>
      <c r="J37" s="107" t="s">
        <v>147</v>
      </c>
      <c r="K37" s="111"/>
      <c r="L37" s="111"/>
      <c r="M37" s="111"/>
      <c r="N37" s="107" t="s">
        <v>3</v>
      </c>
      <c r="O37" s="107" t="s">
        <v>3</v>
      </c>
      <c r="Q37" s="101">
        <f>CephCluster</f>
        <v>180</v>
      </c>
      <c r="R37" s="126"/>
      <c r="S37" s="101" t="s">
        <v>153</v>
      </c>
    </row>
    <row r="38" spans="5:19" x14ac:dyDescent="0.25">
      <c r="E38" s="110" t="s">
        <v>360</v>
      </c>
      <c r="F38" s="133" t="s">
        <v>2</v>
      </c>
      <c r="G38" s="105"/>
      <c r="H38" s="105"/>
      <c r="I38" s="107"/>
      <c r="J38" s="107" t="s">
        <v>147</v>
      </c>
      <c r="K38" s="111"/>
      <c r="L38" s="111"/>
      <c r="M38" s="111"/>
      <c r="N38" s="107" t="s">
        <v>3</v>
      </c>
      <c r="O38" s="107" t="s">
        <v>3</v>
      </c>
      <c r="Q38" s="101">
        <f>ExtAPI</f>
        <v>1221</v>
      </c>
      <c r="R38" s="126"/>
      <c r="S38" s="101" t="s">
        <v>20</v>
      </c>
    </row>
    <row r="39" spans="5:19" x14ac:dyDescent="0.25">
      <c r="E39" s="110" t="s">
        <v>361</v>
      </c>
      <c r="F39" s="133" t="s">
        <v>2</v>
      </c>
      <c r="G39" s="105"/>
      <c r="H39" s="105"/>
      <c r="I39" s="107"/>
      <c r="J39" s="107" t="s">
        <v>147</v>
      </c>
      <c r="K39" s="111"/>
      <c r="L39" s="111"/>
      <c r="M39" s="111"/>
      <c r="N39" s="107" t="s">
        <v>3</v>
      </c>
      <c r="O39" s="107" t="s">
        <v>3</v>
      </c>
      <c r="Q39" s="101" t="str">
        <f>CONCATENATE(TenantBeg,"-",TenantEnd)</f>
        <v>201-250</v>
      </c>
      <c r="R39" s="126"/>
      <c r="S39" s="101" t="s">
        <v>153</v>
      </c>
    </row>
    <row r="40" spans="5:19" x14ac:dyDescent="0.25">
      <c r="E40" s="110" t="s">
        <v>362</v>
      </c>
      <c r="F40" s="133" t="s">
        <v>2</v>
      </c>
      <c r="G40" s="105"/>
      <c r="H40" s="105"/>
      <c r="I40" s="107"/>
      <c r="J40" s="107" t="s">
        <v>147</v>
      </c>
      <c r="K40" s="111"/>
      <c r="L40" s="111"/>
      <c r="M40" s="111"/>
      <c r="N40" s="107" t="s">
        <v>3</v>
      </c>
      <c r="O40" s="107" t="s">
        <v>3</v>
      </c>
    </row>
    <row r="41" spans="5:19" x14ac:dyDescent="0.25">
      <c r="E41" s="110" t="s">
        <v>363</v>
      </c>
      <c r="F41" s="133" t="s">
        <v>2</v>
      </c>
      <c r="G41" s="105"/>
      <c r="H41" s="105"/>
      <c r="I41" s="107"/>
      <c r="J41" s="107" t="s">
        <v>147</v>
      </c>
      <c r="K41" s="111"/>
      <c r="L41" s="111"/>
      <c r="M41" s="111"/>
      <c r="N41" s="107" t="s">
        <v>3</v>
      </c>
      <c r="O41" s="107" t="s">
        <v>3</v>
      </c>
      <c r="Q41" s="147" t="s">
        <v>26</v>
      </c>
      <c r="R41" s="148"/>
      <c r="S41" s="125"/>
    </row>
    <row r="42" spans="5:19" x14ac:dyDescent="0.25">
      <c r="E42" s="110" t="s">
        <v>364</v>
      </c>
      <c r="F42" s="133" t="s">
        <v>2</v>
      </c>
      <c r="G42" s="105"/>
      <c r="H42" s="105"/>
      <c r="I42" s="107"/>
      <c r="J42" s="107" t="s">
        <v>147</v>
      </c>
      <c r="K42" s="111"/>
      <c r="L42" s="111"/>
      <c r="M42" s="111"/>
      <c r="N42" s="107" t="s">
        <v>3</v>
      </c>
      <c r="O42" s="107" t="s">
        <v>3</v>
      </c>
      <c r="Q42" s="101" t="s">
        <v>12</v>
      </c>
      <c r="R42" s="101" t="s">
        <v>5</v>
      </c>
      <c r="S42" s="101" t="s">
        <v>143</v>
      </c>
    </row>
    <row r="43" spans="5:19" x14ac:dyDescent="0.25">
      <c r="E43" s="110" t="s">
        <v>365</v>
      </c>
      <c r="F43" s="133" t="s">
        <v>2</v>
      </c>
      <c r="G43" s="105"/>
      <c r="H43" s="105"/>
      <c r="I43" s="107"/>
      <c r="J43" s="107" t="s">
        <v>147</v>
      </c>
      <c r="K43" s="111"/>
      <c r="L43" s="111"/>
      <c r="M43" s="111"/>
      <c r="N43" s="107" t="s">
        <v>3</v>
      </c>
      <c r="O43" s="107" t="s">
        <v>3</v>
      </c>
      <c r="Q43" s="101" t="s">
        <v>27</v>
      </c>
    </row>
    <row r="44" spans="5:19" x14ac:dyDescent="0.25">
      <c r="E44" s="110" t="s">
        <v>366</v>
      </c>
      <c r="F44" s="133" t="s">
        <v>2</v>
      </c>
      <c r="G44" s="105"/>
      <c r="H44" s="105"/>
      <c r="I44" s="107"/>
      <c r="J44" s="107" t="s">
        <v>147</v>
      </c>
      <c r="K44" s="111"/>
      <c r="L44" s="111"/>
      <c r="M44" s="111"/>
      <c r="N44" s="107" t="s">
        <v>3</v>
      </c>
      <c r="O44" s="107" t="s">
        <v>3</v>
      </c>
    </row>
    <row r="45" spans="5:19" x14ac:dyDescent="0.25">
      <c r="E45" s="110" t="s">
        <v>367</v>
      </c>
      <c r="F45" s="133" t="s">
        <v>2</v>
      </c>
      <c r="G45" s="105"/>
      <c r="H45" s="105"/>
      <c r="I45" s="107"/>
      <c r="J45" s="107" t="s">
        <v>147</v>
      </c>
      <c r="K45" s="111"/>
      <c r="L45" s="111"/>
      <c r="M45" s="111"/>
      <c r="N45" s="107" t="s">
        <v>3</v>
      </c>
      <c r="O45" s="107" t="s">
        <v>3</v>
      </c>
    </row>
    <row r="46" spans="5:19" x14ac:dyDescent="0.25">
      <c r="E46" s="110" t="s">
        <v>368</v>
      </c>
      <c r="F46" s="133" t="s">
        <v>2</v>
      </c>
      <c r="G46" s="105"/>
      <c r="H46" s="105"/>
      <c r="I46" s="107"/>
      <c r="J46" s="107" t="s">
        <v>147</v>
      </c>
      <c r="K46" s="111"/>
      <c r="L46" s="111"/>
      <c r="M46" s="111"/>
      <c r="N46" s="107" t="s">
        <v>3</v>
      </c>
      <c r="O46" s="107" t="s">
        <v>3</v>
      </c>
    </row>
    <row r="47" spans="5:19" x14ac:dyDescent="0.25">
      <c r="E47" s="110" t="s">
        <v>369</v>
      </c>
      <c r="F47" s="133" t="s">
        <v>2</v>
      </c>
      <c r="G47" s="105"/>
      <c r="H47" s="105"/>
      <c r="I47" s="107"/>
      <c r="J47" s="107" t="s">
        <v>147</v>
      </c>
      <c r="K47" s="111"/>
      <c r="L47" s="111"/>
      <c r="M47" s="111"/>
      <c r="N47" s="107" t="s">
        <v>3</v>
      </c>
      <c r="O47" s="107" t="s">
        <v>3</v>
      </c>
      <c r="Q47" s="143" t="s">
        <v>192</v>
      </c>
      <c r="R47" s="143"/>
      <c r="S47" s="143"/>
    </row>
    <row r="48" spans="5:19" x14ac:dyDescent="0.25">
      <c r="E48" s="110" t="s">
        <v>370</v>
      </c>
      <c r="F48" s="133" t="s">
        <v>2</v>
      </c>
      <c r="G48" s="105"/>
      <c r="H48" s="105"/>
      <c r="I48" s="107"/>
      <c r="J48" s="107" t="s">
        <v>147</v>
      </c>
      <c r="K48" s="111"/>
      <c r="L48" s="111"/>
      <c r="M48" s="111"/>
      <c r="N48" s="107" t="s">
        <v>3</v>
      </c>
      <c r="O48" s="107" t="s">
        <v>3</v>
      </c>
      <c r="Q48" s="143"/>
      <c r="R48" s="143"/>
      <c r="S48" s="143"/>
    </row>
    <row r="49" spans="5:19" x14ac:dyDescent="0.25">
      <c r="E49" s="110" t="s">
        <v>371</v>
      </c>
      <c r="F49" s="133" t="s">
        <v>2</v>
      </c>
      <c r="G49" s="105"/>
      <c r="H49" s="105"/>
      <c r="I49" s="107"/>
      <c r="J49" s="107" t="s">
        <v>147</v>
      </c>
      <c r="K49" s="111"/>
      <c r="L49" s="111"/>
      <c r="M49" s="111"/>
      <c r="N49" s="107" t="s">
        <v>3</v>
      </c>
      <c r="O49" s="107" t="s">
        <v>3</v>
      </c>
      <c r="Q49" s="143"/>
      <c r="R49" s="143"/>
      <c r="S49" s="143"/>
    </row>
    <row r="50" spans="5:19" x14ac:dyDescent="0.25">
      <c r="E50" s="110" t="s">
        <v>372</v>
      </c>
      <c r="F50" s="133" t="s">
        <v>2</v>
      </c>
      <c r="G50" s="105"/>
      <c r="H50" s="105"/>
      <c r="I50" s="107"/>
      <c r="J50" s="107" t="s">
        <v>147</v>
      </c>
      <c r="K50" s="111"/>
      <c r="L50" s="111"/>
      <c r="M50" s="111"/>
      <c r="N50" s="107" t="s">
        <v>3</v>
      </c>
      <c r="O50" s="107" t="s">
        <v>3</v>
      </c>
    </row>
    <row r="51" spans="5:19" x14ac:dyDescent="0.25">
      <c r="E51" s="110" t="s">
        <v>373</v>
      </c>
      <c r="F51" s="133" t="s">
        <v>2</v>
      </c>
      <c r="G51" s="105"/>
      <c r="H51" s="105"/>
      <c r="I51" s="107"/>
      <c r="J51" s="107" t="s">
        <v>147</v>
      </c>
      <c r="K51" s="111"/>
      <c r="L51" s="111"/>
      <c r="M51" s="111"/>
      <c r="N51" s="107" t="s">
        <v>3</v>
      </c>
      <c r="O51" s="107" t="s">
        <v>3</v>
      </c>
    </row>
    <row r="52" spans="5:19" x14ac:dyDescent="0.25">
      <c r="E52" s="110" t="s">
        <v>374</v>
      </c>
      <c r="F52" s="133" t="s">
        <v>2</v>
      </c>
      <c r="G52" s="105"/>
      <c r="H52" s="105"/>
      <c r="I52" s="107"/>
      <c r="J52" s="107" t="s">
        <v>147</v>
      </c>
      <c r="K52" s="111"/>
      <c r="L52" s="111"/>
      <c r="M52" s="111"/>
      <c r="N52" s="107" t="s">
        <v>3</v>
      </c>
      <c r="O52" s="107" t="s">
        <v>3</v>
      </c>
    </row>
    <row r="53" spans="5:19" x14ac:dyDescent="0.25">
      <c r="E53" s="103" t="s">
        <v>379</v>
      </c>
      <c r="F53" s="110" t="s">
        <v>2</v>
      </c>
      <c r="G53" s="105"/>
      <c r="H53" s="105"/>
      <c r="I53" s="107"/>
      <c r="J53" s="107" t="s">
        <v>147</v>
      </c>
      <c r="K53" s="107"/>
      <c r="L53" s="107"/>
      <c r="M53" s="107" t="s">
        <v>3</v>
      </c>
      <c r="N53" s="107" t="s">
        <v>3</v>
      </c>
      <c r="O53" s="107" t="s">
        <v>3</v>
      </c>
    </row>
    <row r="54" spans="5:19" x14ac:dyDescent="0.25">
      <c r="E54" s="103" t="s">
        <v>380</v>
      </c>
      <c r="F54" s="110" t="s">
        <v>2</v>
      </c>
      <c r="G54" s="105"/>
      <c r="H54" s="105"/>
      <c r="I54" s="107"/>
      <c r="J54" s="107" t="s">
        <v>147</v>
      </c>
      <c r="K54" s="107"/>
      <c r="L54" s="107"/>
      <c r="M54" s="107" t="s">
        <v>3</v>
      </c>
      <c r="N54" s="107" t="s">
        <v>3</v>
      </c>
      <c r="O54" s="107" t="s">
        <v>3</v>
      </c>
    </row>
    <row r="55" spans="5:19" x14ac:dyDescent="0.25">
      <c r="E55" s="103" t="s">
        <v>381</v>
      </c>
      <c r="F55" s="110" t="s">
        <v>252</v>
      </c>
      <c r="G55" s="105" t="s">
        <v>268</v>
      </c>
      <c r="H55" s="110" t="s">
        <v>322</v>
      </c>
      <c r="I55" s="107" t="s">
        <v>237</v>
      </c>
      <c r="J55" s="107" t="s">
        <v>160</v>
      </c>
      <c r="K55" s="111" t="s">
        <v>152</v>
      </c>
      <c r="L55" s="111">
        <v>9216</v>
      </c>
      <c r="M55" s="111" t="s">
        <v>163</v>
      </c>
      <c r="N55" s="107">
        <v>51</v>
      </c>
      <c r="O55" s="107" t="s">
        <v>4</v>
      </c>
    </row>
    <row r="56" spans="5:19" x14ac:dyDescent="0.25">
      <c r="E56" s="103" t="s">
        <v>382</v>
      </c>
      <c r="F56" s="110" t="s">
        <v>252</v>
      </c>
      <c r="G56" s="105" t="s">
        <v>269</v>
      </c>
      <c r="H56" s="110" t="s">
        <v>322</v>
      </c>
      <c r="I56" s="107" t="s">
        <v>237</v>
      </c>
      <c r="J56" s="107" t="s">
        <v>160</v>
      </c>
      <c r="K56" s="111" t="s">
        <v>152</v>
      </c>
      <c r="L56" s="111">
        <v>9216</v>
      </c>
      <c r="M56" s="111" t="s">
        <v>163</v>
      </c>
      <c r="N56" s="107">
        <v>51</v>
      </c>
      <c r="O56" s="107" t="s">
        <v>4</v>
      </c>
    </row>
    <row r="57" spans="5:19" x14ac:dyDescent="0.25">
      <c r="E57" s="103" t="s">
        <v>184</v>
      </c>
      <c r="F57" s="133" t="s">
        <v>154</v>
      </c>
      <c r="G57" s="105" t="s">
        <v>191</v>
      </c>
      <c r="H57" s="105" t="s">
        <v>189</v>
      </c>
      <c r="I57" s="107"/>
      <c r="J57" s="107" t="s">
        <v>147</v>
      </c>
      <c r="K57" s="107"/>
      <c r="L57" s="107"/>
      <c r="M57" s="107" t="s">
        <v>3</v>
      </c>
      <c r="N57" s="107" t="s">
        <v>3</v>
      </c>
      <c r="O57" s="107" t="s">
        <v>3</v>
      </c>
    </row>
  </sheetData>
  <mergeCells count="9">
    <mergeCell ref="Q47:S49"/>
    <mergeCell ref="E2:O2"/>
    <mergeCell ref="N3:O3"/>
    <mergeCell ref="Q20:R20"/>
    <mergeCell ref="E3:F3"/>
    <mergeCell ref="G3:H3"/>
    <mergeCell ref="J3:L3"/>
    <mergeCell ref="Q30:R30"/>
    <mergeCell ref="Q41:R41"/>
  </mergeCells>
  <conditionalFormatting sqref="F16:F18">
    <cfRule type="expression" dxfId="132" priority="19" stopIfTrue="1">
      <formula>E16=""</formula>
    </cfRule>
  </conditionalFormatting>
  <conditionalFormatting sqref="F57">
    <cfRule type="expression" dxfId="131" priority="18" stopIfTrue="1">
      <formula>E57=""</formula>
    </cfRule>
  </conditionalFormatting>
  <conditionalFormatting sqref="F38:F43">
    <cfRule type="expression" dxfId="130" priority="14" stopIfTrue="1">
      <formula>E38=""</formula>
    </cfRule>
  </conditionalFormatting>
  <conditionalFormatting sqref="F19:F20">
    <cfRule type="expression" dxfId="129" priority="12" stopIfTrue="1">
      <formula>E19=""</formula>
    </cfRule>
  </conditionalFormatting>
  <conditionalFormatting sqref="F13:F15">
    <cfRule type="expression" dxfId="128" priority="11" stopIfTrue="1">
      <formula>E13=""</formula>
    </cfRule>
  </conditionalFormatting>
  <conditionalFormatting sqref="F46:F50">
    <cfRule type="expression" dxfId="127" priority="10" stopIfTrue="1">
      <formula>E46=""</formula>
    </cfRule>
  </conditionalFormatting>
  <conditionalFormatting sqref="F51">
    <cfRule type="expression" dxfId="126" priority="9" stopIfTrue="1">
      <formula>E51=""</formula>
    </cfRule>
  </conditionalFormatting>
  <conditionalFormatting sqref="F52">
    <cfRule type="expression" dxfId="125" priority="8" stopIfTrue="1">
      <formula>E52=""</formula>
    </cfRule>
  </conditionalFormatting>
  <conditionalFormatting sqref="F44:F45">
    <cfRule type="expression" dxfId="124" priority="7" stopIfTrue="1">
      <formula>E44=""</formula>
    </cfRule>
  </conditionalFormatting>
  <conditionalFormatting sqref="F5:F11">
    <cfRule type="expression" dxfId="123" priority="3" stopIfTrue="1">
      <formula>E5=""</formula>
    </cfRule>
  </conditionalFormatting>
  <conditionalFormatting sqref="F21:F37">
    <cfRule type="expression" dxfId="122" priority="2" stopIfTrue="1">
      <formula>E21=""</formula>
    </cfRule>
  </conditionalFormatting>
  <conditionalFormatting sqref="F12">
    <cfRule type="expression" dxfId="121" priority="1" stopIfTrue="1">
      <formula>E12=""</formula>
    </cfRule>
  </conditionalFormatting>
  <dataValidations count="1">
    <dataValidation type="list" allowBlank="1" showInputMessage="1" showErrorMessage="1" sqref="F57 F5:F52">
      <formula1>IF(ISERROR(VLOOKUP(G503,H503:I$575,3,FALSE)),"",INDIRECT(VLOOKUP(G503,H503:I$575,3,FALSE)))</formula1>
    </dataValidation>
  </dataValidations>
  <pageMargins left="0.7" right="0.7" top="0.75" bottom="0.75" header="0.3" footer="0.3"/>
  <pageSetup paperSize="9" orientation="portrait" horizontalDpi="360" verticalDpi="360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1:Z141"/>
  <sheetViews>
    <sheetView zoomScaleNormal="100" workbookViewId="0">
      <pane ySplit="4" topLeftCell="A5" activePane="bottomLeft" state="frozen"/>
      <selection activeCell="E1" sqref="E1"/>
      <selection pane="bottomLeft" activeCell="O1" sqref="F1:O1048576"/>
    </sheetView>
  </sheetViews>
  <sheetFormatPr defaultColWidth="12.5703125" defaultRowHeight="15.75" x14ac:dyDescent="0.25"/>
  <cols>
    <col min="1" max="1" width="10.28515625" style="101" customWidth="1"/>
    <col min="2" max="2" width="32.42578125" style="101" bestFit="1" customWidth="1"/>
    <col min="3" max="3" width="13.42578125" style="101" bestFit="1" customWidth="1"/>
    <col min="4" max="4" width="16.140625" style="101" bestFit="1" customWidth="1"/>
    <col min="5" max="5" width="7.5703125" style="101" bestFit="1" customWidth="1"/>
    <col min="6" max="15" width="7.28515625" style="101" customWidth="1"/>
    <col min="16" max="16" width="13.85546875" style="101" bestFit="1" customWidth="1"/>
    <col min="17" max="17" width="13.28515625" style="101" bestFit="1" customWidth="1"/>
    <col min="18" max="18" width="20" style="101" bestFit="1" customWidth="1"/>
    <col min="19" max="19" width="7.85546875" style="101" bestFit="1" customWidth="1"/>
    <col min="20" max="20" width="15.85546875" style="101" bestFit="1" customWidth="1"/>
    <col min="21" max="21" width="4.85546875" style="101" bestFit="1" customWidth="1"/>
    <col min="22" max="22" width="9" style="101" bestFit="1" customWidth="1"/>
    <col min="23" max="23" width="12.5703125" style="101"/>
    <col min="24" max="24" width="18.28515625" style="101" bestFit="1" customWidth="1"/>
    <col min="25" max="25" width="40.42578125" style="101" bestFit="1" customWidth="1"/>
    <col min="26" max="26" width="13.140625" style="101" bestFit="1" customWidth="1"/>
    <col min="27" max="16384" width="12.5703125" style="101"/>
  </cols>
  <sheetData>
    <row r="1" spans="2:26" x14ac:dyDescent="0.25">
      <c r="B1" s="127" t="s">
        <v>193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</row>
    <row r="2" spans="2:26" x14ac:dyDescent="0.25">
      <c r="B2" s="96" t="s">
        <v>1</v>
      </c>
      <c r="C2" s="97"/>
      <c r="D2" s="97" t="s">
        <v>12</v>
      </c>
      <c r="E2" s="97"/>
      <c r="F2" s="100" t="s">
        <v>8</v>
      </c>
      <c r="G2" s="99"/>
      <c r="H2" s="99"/>
      <c r="I2" s="99"/>
      <c r="J2" s="99"/>
      <c r="K2" s="99"/>
      <c r="L2" s="99"/>
      <c r="M2" s="99"/>
      <c r="N2" s="99"/>
      <c r="O2" s="99"/>
      <c r="P2" s="100" t="s">
        <v>155</v>
      </c>
      <c r="Q2" s="99"/>
      <c r="R2" s="99"/>
      <c r="S2" s="99"/>
      <c r="T2" s="128"/>
      <c r="U2" s="97" t="s">
        <v>9</v>
      </c>
      <c r="V2" s="98"/>
    </row>
    <row r="3" spans="2:26" x14ac:dyDescent="0.25">
      <c r="B3" s="99" t="s">
        <v>22</v>
      </c>
      <c r="C3" s="100" t="s">
        <v>23</v>
      </c>
      <c r="D3" s="100" t="s">
        <v>15</v>
      </c>
      <c r="E3" s="100" t="s">
        <v>11</v>
      </c>
      <c r="F3" s="101" t="s">
        <v>136</v>
      </c>
      <c r="G3" s="101" t="s">
        <v>137</v>
      </c>
      <c r="H3" s="101" t="s">
        <v>138</v>
      </c>
      <c r="I3" s="101" t="s">
        <v>142</v>
      </c>
      <c r="J3" s="101" t="s">
        <v>150</v>
      </c>
      <c r="K3" s="101" t="s">
        <v>182</v>
      </c>
      <c r="L3" s="101" t="s">
        <v>183</v>
      </c>
      <c r="M3" s="101" t="s">
        <v>146</v>
      </c>
      <c r="N3" s="101" t="s">
        <v>239</v>
      </c>
      <c r="O3" s="101" t="s">
        <v>238</v>
      </c>
      <c r="P3" s="102" t="s">
        <v>186</v>
      </c>
      <c r="Q3" s="102" t="s">
        <v>156</v>
      </c>
      <c r="R3" s="102" t="s">
        <v>157</v>
      </c>
      <c r="S3" s="102" t="s">
        <v>158</v>
      </c>
      <c r="T3" s="102" t="s">
        <v>159</v>
      </c>
      <c r="U3" s="102" t="s">
        <v>13</v>
      </c>
      <c r="V3" s="102" t="s">
        <v>14</v>
      </c>
    </row>
    <row r="4" spans="2:26" x14ac:dyDescent="0.25">
      <c r="B4" s="103"/>
      <c r="C4" s="104"/>
      <c r="D4" s="105"/>
      <c r="E4" s="105"/>
      <c r="F4" s="106">
        <f>OOB</f>
        <v>110</v>
      </c>
      <c r="G4" s="107">
        <f>Provisioner</f>
        <v>120</v>
      </c>
      <c r="H4" s="107">
        <f>PrivAPI</f>
        <v>140</v>
      </c>
      <c r="I4" s="107">
        <f>Storage</f>
        <v>170</v>
      </c>
      <c r="J4" s="107">
        <f>CephCluster</f>
        <v>180</v>
      </c>
      <c r="K4" s="107">
        <f>ExtAPI</f>
        <v>1221</v>
      </c>
      <c r="L4" s="107">
        <f>EXTTen</f>
        <v>1222</v>
      </c>
      <c r="M4" s="107">
        <f>TenantBeg</f>
        <v>201</v>
      </c>
      <c r="N4" s="107">
        <f>TenantEnd</f>
        <v>250</v>
      </c>
      <c r="O4" s="108">
        <f>TenTunnel</f>
        <v>130</v>
      </c>
      <c r="P4" s="109"/>
      <c r="Q4" s="109"/>
      <c r="R4" s="109"/>
      <c r="S4" s="109"/>
      <c r="T4" s="109"/>
      <c r="U4" s="105"/>
      <c r="V4" s="105"/>
    </row>
    <row r="5" spans="2:26" x14ac:dyDescent="0.25">
      <c r="B5" s="101" t="s">
        <v>272</v>
      </c>
      <c r="C5" s="110" t="s">
        <v>242</v>
      </c>
      <c r="D5" s="110" t="s">
        <v>145</v>
      </c>
      <c r="E5" s="105" t="s">
        <v>254</v>
      </c>
      <c r="F5" s="105" t="s">
        <v>237</v>
      </c>
      <c r="G5" s="105" t="s">
        <v>240</v>
      </c>
      <c r="H5" s="105" t="s">
        <v>237</v>
      </c>
      <c r="I5" s="105" t="s">
        <v>237</v>
      </c>
      <c r="J5" s="105"/>
      <c r="K5" s="105" t="s">
        <v>237</v>
      </c>
      <c r="L5" s="105"/>
      <c r="M5" s="105"/>
      <c r="N5" s="105"/>
      <c r="O5" s="105"/>
      <c r="P5" s="111" t="s">
        <v>187</v>
      </c>
      <c r="Q5" s="111" t="s">
        <v>160</v>
      </c>
      <c r="R5" s="111" t="s">
        <v>162</v>
      </c>
      <c r="S5" s="111">
        <v>9216</v>
      </c>
      <c r="T5" s="111" t="s">
        <v>161</v>
      </c>
      <c r="U5" s="107">
        <v>1</v>
      </c>
      <c r="V5" s="107" t="s">
        <v>4</v>
      </c>
      <c r="X5" s="116" t="s">
        <v>17</v>
      </c>
      <c r="Y5" s="117"/>
      <c r="Z5" s="118"/>
    </row>
    <row r="6" spans="2:26" x14ac:dyDescent="0.25">
      <c r="B6" s="101" t="s">
        <v>273</v>
      </c>
      <c r="C6" s="110" t="s">
        <v>242</v>
      </c>
      <c r="D6" s="110" t="s">
        <v>246</v>
      </c>
      <c r="E6" s="105" t="s">
        <v>254</v>
      </c>
      <c r="F6" s="105"/>
      <c r="G6" s="105" t="s">
        <v>240</v>
      </c>
      <c r="H6" s="105" t="s">
        <v>237</v>
      </c>
      <c r="I6" s="105" t="s">
        <v>237</v>
      </c>
      <c r="J6" s="105"/>
      <c r="K6" s="105"/>
      <c r="L6" s="105" t="s">
        <v>237</v>
      </c>
      <c r="M6" s="105" t="s">
        <v>237</v>
      </c>
      <c r="N6" s="105" t="s">
        <v>237</v>
      </c>
      <c r="O6" s="105" t="s">
        <v>237</v>
      </c>
      <c r="P6" s="111" t="s">
        <v>187</v>
      </c>
      <c r="Q6" s="111" t="s">
        <v>160</v>
      </c>
      <c r="R6" s="111" t="s">
        <v>162</v>
      </c>
      <c r="S6" s="111">
        <v>9216</v>
      </c>
      <c r="T6" s="111" t="s">
        <v>161</v>
      </c>
      <c r="U6" s="107">
        <v>2</v>
      </c>
      <c r="V6" s="107" t="s">
        <v>4</v>
      </c>
      <c r="X6" s="114" t="s">
        <v>16</v>
      </c>
      <c r="Y6" s="115"/>
      <c r="Z6" s="115"/>
    </row>
    <row r="7" spans="2:26" x14ac:dyDescent="0.25">
      <c r="B7" s="101" t="s">
        <v>274</v>
      </c>
      <c r="C7" s="110" t="s">
        <v>242</v>
      </c>
      <c r="D7" s="110" t="s">
        <v>247</v>
      </c>
      <c r="E7" s="105" t="s">
        <v>254</v>
      </c>
      <c r="F7" s="105"/>
      <c r="G7" s="105" t="s">
        <v>240</v>
      </c>
      <c r="H7" s="105" t="s">
        <v>237</v>
      </c>
      <c r="I7" s="105" t="s">
        <v>237</v>
      </c>
      <c r="J7" s="105"/>
      <c r="K7" s="105"/>
      <c r="L7" s="105" t="s">
        <v>237</v>
      </c>
      <c r="M7" s="105" t="s">
        <v>237</v>
      </c>
      <c r="N7" s="105" t="s">
        <v>237</v>
      </c>
      <c r="O7" s="105" t="s">
        <v>237</v>
      </c>
      <c r="P7" s="111" t="s">
        <v>187</v>
      </c>
      <c r="Q7" s="111" t="s">
        <v>160</v>
      </c>
      <c r="R7" s="111" t="s">
        <v>162</v>
      </c>
      <c r="S7" s="111">
        <v>9216</v>
      </c>
      <c r="T7" s="111" t="s">
        <v>161</v>
      </c>
      <c r="U7" s="107">
        <v>3</v>
      </c>
      <c r="V7" s="107" t="s">
        <v>4</v>
      </c>
      <c r="X7" s="116" t="s">
        <v>7</v>
      </c>
      <c r="Y7" s="115"/>
      <c r="Z7" s="115"/>
    </row>
    <row r="8" spans="2:26" x14ac:dyDescent="0.25">
      <c r="B8" s="101" t="s">
        <v>275</v>
      </c>
      <c r="C8" s="110" t="s">
        <v>242</v>
      </c>
      <c r="D8" s="110" t="s">
        <v>248</v>
      </c>
      <c r="E8" s="105" t="s">
        <v>254</v>
      </c>
      <c r="F8" s="105"/>
      <c r="G8" s="105" t="s">
        <v>240</v>
      </c>
      <c r="H8" s="105" t="s">
        <v>237</v>
      </c>
      <c r="I8" s="105" t="s">
        <v>237</v>
      </c>
      <c r="J8" s="105"/>
      <c r="K8" s="105"/>
      <c r="L8" s="105" t="s">
        <v>237</v>
      </c>
      <c r="M8" s="105" t="s">
        <v>237</v>
      </c>
      <c r="N8" s="105" t="s">
        <v>237</v>
      </c>
      <c r="O8" s="105" t="s">
        <v>237</v>
      </c>
      <c r="P8" s="111" t="s">
        <v>187</v>
      </c>
      <c r="Q8" s="111" t="s">
        <v>160</v>
      </c>
      <c r="R8" s="111" t="s">
        <v>162</v>
      </c>
      <c r="S8" s="111">
        <v>9216</v>
      </c>
      <c r="T8" s="111" t="s">
        <v>161</v>
      </c>
      <c r="U8" s="107">
        <v>4</v>
      </c>
      <c r="V8" s="107" t="s">
        <v>4</v>
      </c>
      <c r="X8" s="114" t="s">
        <v>30</v>
      </c>
      <c r="Y8" s="115"/>
      <c r="Z8" s="115"/>
    </row>
    <row r="9" spans="2:26" x14ac:dyDescent="0.25">
      <c r="B9" s="101" t="s">
        <v>276</v>
      </c>
      <c r="C9" s="110" t="s">
        <v>242</v>
      </c>
      <c r="D9" s="105" t="s">
        <v>243</v>
      </c>
      <c r="E9" s="105" t="s">
        <v>254</v>
      </c>
      <c r="F9" s="105"/>
      <c r="G9" s="105" t="s">
        <v>240</v>
      </c>
      <c r="H9" s="105" t="s">
        <v>237</v>
      </c>
      <c r="I9" s="105"/>
      <c r="J9" s="105"/>
      <c r="K9" s="105"/>
      <c r="L9" s="105"/>
      <c r="M9" s="105" t="s">
        <v>237</v>
      </c>
      <c r="N9" s="105" t="s">
        <v>237</v>
      </c>
      <c r="O9" s="105" t="s">
        <v>237</v>
      </c>
      <c r="P9" s="111" t="s">
        <v>187</v>
      </c>
      <c r="Q9" s="111" t="s">
        <v>160</v>
      </c>
      <c r="R9" s="111" t="s">
        <v>162</v>
      </c>
      <c r="S9" s="111">
        <v>9216</v>
      </c>
      <c r="T9" s="111" t="s">
        <v>161</v>
      </c>
      <c r="U9" s="107">
        <v>5</v>
      </c>
      <c r="V9" s="107" t="s">
        <v>4</v>
      </c>
    </row>
    <row r="10" spans="2:26" x14ac:dyDescent="0.25">
      <c r="B10" s="101" t="s">
        <v>277</v>
      </c>
      <c r="C10" s="110" t="s">
        <v>242</v>
      </c>
      <c r="D10" s="105" t="s">
        <v>244</v>
      </c>
      <c r="E10" s="105" t="s">
        <v>254</v>
      </c>
      <c r="F10" s="105"/>
      <c r="G10" s="105" t="s">
        <v>240</v>
      </c>
      <c r="H10" s="105" t="s">
        <v>237</v>
      </c>
      <c r="I10" s="105"/>
      <c r="J10" s="105"/>
      <c r="K10" s="105"/>
      <c r="L10" s="105"/>
      <c r="M10" s="105" t="s">
        <v>237</v>
      </c>
      <c r="N10" s="105" t="s">
        <v>237</v>
      </c>
      <c r="O10" s="105" t="s">
        <v>237</v>
      </c>
      <c r="P10" s="111" t="s">
        <v>187</v>
      </c>
      <c r="Q10" s="111" t="s">
        <v>160</v>
      </c>
      <c r="R10" s="111" t="s">
        <v>162</v>
      </c>
      <c r="S10" s="111">
        <v>9216</v>
      </c>
      <c r="T10" s="111" t="s">
        <v>161</v>
      </c>
      <c r="U10" s="107">
        <v>6</v>
      </c>
      <c r="V10" s="107" t="s">
        <v>4</v>
      </c>
      <c r="X10" s="113" t="s">
        <v>98</v>
      </c>
      <c r="Y10" s="119" t="s">
        <v>152</v>
      </c>
      <c r="Z10" s="119"/>
    </row>
    <row r="11" spans="2:26" x14ac:dyDescent="0.25">
      <c r="B11" s="101" t="s">
        <v>278</v>
      </c>
      <c r="C11" s="110" t="s">
        <v>242</v>
      </c>
      <c r="D11" s="105" t="s">
        <v>245</v>
      </c>
      <c r="E11" s="105" t="s">
        <v>254</v>
      </c>
      <c r="F11" s="105"/>
      <c r="G11" s="105" t="s">
        <v>240</v>
      </c>
      <c r="H11" s="105" t="s">
        <v>237</v>
      </c>
      <c r="I11" s="105"/>
      <c r="J11" s="105"/>
      <c r="K11" s="105"/>
      <c r="L11" s="105"/>
      <c r="M11" s="105" t="s">
        <v>237</v>
      </c>
      <c r="N11" s="105" t="s">
        <v>237</v>
      </c>
      <c r="O11" s="105" t="s">
        <v>237</v>
      </c>
      <c r="P11" s="111" t="s">
        <v>187</v>
      </c>
      <c r="Q11" s="111" t="s">
        <v>160</v>
      </c>
      <c r="R11" s="111" t="s">
        <v>162</v>
      </c>
      <c r="S11" s="111">
        <v>9216</v>
      </c>
      <c r="T11" s="111" t="s">
        <v>161</v>
      </c>
      <c r="U11" s="107">
        <v>7</v>
      </c>
      <c r="V11" s="107" t="s">
        <v>4</v>
      </c>
      <c r="X11" s="120" t="s">
        <v>18</v>
      </c>
      <c r="Y11" s="115"/>
      <c r="Z11" s="115"/>
    </row>
    <row r="12" spans="2:26" x14ac:dyDescent="0.25">
      <c r="B12" s="101" t="s">
        <v>279</v>
      </c>
      <c r="C12" s="110" t="s">
        <v>2</v>
      </c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7"/>
      <c r="Q12" s="111" t="s">
        <v>147</v>
      </c>
      <c r="R12" s="107"/>
      <c r="S12" s="107"/>
      <c r="T12" s="107"/>
      <c r="U12" s="107">
        <v>8</v>
      </c>
      <c r="V12" s="107" t="s">
        <v>3</v>
      </c>
      <c r="X12" s="113" t="s">
        <v>19</v>
      </c>
      <c r="Y12" s="115">
        <v>24576</v>
      </c>
      <c r="Z12" s="115"/>
    </row>
    <row r="13" spans="2:26" x14ac:dyDescent="0.25">
      <c r="B13" s="101" t="s">
        <v>296</v>
      </c>
      <c r="C13" s="110" t="s">
        <v>2</v>
      </c>
      <c r="D13" s="105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5"/>
      <c r="P13" s="107"/>
      <c r="Q13" s="111" t="s">
        <v>147</v>
      </c>
      <c r="R13" s="107"/>
      <c r="S13" s="107"/>
      <c r="T13" s="107"/>
      <c r="U13" s="107">
        <v>9</v>
      </c>
      <c r="V13" s="107" t="s">
        <v>3</v>
      </c>
    </row>
    <row r="14" spans="2:26" ht="15.75" hidden="1" customHeight="1" x14ac:dyDescent="0.25">
      <c r="B14" s="101" t="s">
        <v>3</v>
      </c>
      <c r="C14" s="110" t="s">
        <v>2</v>
      </c>
      <c r="D14" s="105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7"/>
      <c r="Q14" s="111" t="s">
        <v>147</v>
      </c>
      <c r="R14" s="107"/>
      <c r="S14" s="107"/>
      <c r="T14" s="107"/>
      <c r="U14" s="107">
        <v>10</v>
      </c>
      <c r="V14" s="107" t="s">
        <v>3</v>
      </c>
      <c r="X14" s="113" t="s">
        <v>21</v>
      </c>
      <c r="Y14" s="119" t="s">
        <v>153</v>
      </c>
      <c r="Z14" s="119"/>
    </row>
    <row r="15" spans="2:26" ht="15.75" hidden="1" customHeight="1" x14ac:dyDescent="0.25">
      <c r="B15" s="101" t="s">
        <v>3</v>
      </c>
      <c r="C15" s="110" t="s">
        <v>2</v>
      </c>
      <c r="D15" s="105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7"/>
      <c r="Q15" s="111" t="s">
        <v>147</v>
      </c>
      <c r="R15" s="107"/>
      <c r="S15" s="107"/>
      <c r="T15" s="107"/>
      <c r="U15" s="107">
        <v>11</v>
      </c>
      <c r="V15" s="107" t="s">
        <v>3</v>
      </c>
    </row>
    <row r="16" spans="2:26" ht="15.75" hidden="1" customHeight="1" x14ac:dyDescent="0.25">
      <c r="B16" s="101" t="s">
        <v>3</v>
      </c>
      <c r="C16" s="110" t="s">
        <v>2</v>
      </c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7"/>
      <c r="Q16" s="111" t="s">
        <v>147</v>
      </c>
      <c r="R16" s="107"/>
      <c r="S16" s="107"/>
      <c r="T16" s="107"/>
      <c r="U16" s="107">
        <v>12</v>
      </c>
      <c r="V16" s="107" t="s">
        <v>3</v>
      </c>
      <c r="X16" s="121" t="s">
        <v>29</v>
      </c>
      <c r="Y16" s="122"/>
      <c r="Z16" s="122"/>
    </row>
    <row r="17" spans="2:26" x14ac:dyDescent="0.25">
      <c r="B17" s="101" t="s">
        <v>297</v>
      </c>
      <c r="C17" s="110" t="s">
        <v>2</v>
      </c>
      <c r="D17" s="105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7"/>
      <c r="Q17" s="111" t="s">
        <v>147</v>
      </c>
      <c r="R17" s="107"/>
      <c r="S17" s="107"/>
      <c r="T17" s="107"/>
      <c r="U17" s="107">
        <v>13</v>
      </c>
      <c r="V17" s="107" t="s">
        <v>3</v>
      </c>
      <c r="X17" s="123"/>
      <c r="Y17" s="124"/>
      <c r="Z17" s="124"/>
    </row>
    <row r="18" spans="2:26" ht="15.75" hidden="1" customHeight="1" x14ac:dyDescent="0.25">
      <c r="B18" s="101" t="s">
        <v>3</v>
      </c>
      <c r="C18" s="110" t="s">
        <v>2</v>
      </c>
      <c r="D18" s="105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7"/>
      <c r="Q18" s="111" t="s">
        <v>147</v>
      </c>
      <c r="R18" s="107"/>
      <c r="S18" s="107"/>
      <c r="T18" s="107"/>
      <c r="U18" s="107">
        <v>14</v>
      </c>
      <c r="V18" s="107" t="s">
        <v>3</v>
      </c>
      <c r="X18" s="121"/>
      <c r="Y18" s="122"/>
      <c r="Z18" s="122"/>
    </row>
    <row r="19" spans="2:26" ht="15.75" hidden="1" customHeight="1" x14ac:dyDescent="0.25">
      <c r="B19" s="101" t="s">
        <v>3</v>
      </c>
      <c r="C19" s="110" t="s">
        <v>2</v>
      </c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7"/>
      <c r="Q19" s="111" t="s">
        <v>147</v>
      </c>
      <c r="R19" s="107"/>
      <c r="S19" s="107"/>
      <c r="T19" s="107"/>
      <c r="U19" s="107">
        <v>15</v>
      </c>
      <c r="V19" s="107" t="s">
        <v>3</v>
      </c>
      <c r="X19" s="123"/>
      <c r="Y19" s="124"/>
      <c r="Z19" s="124"/>
    </row>
    <row r="20" spans="2:26" ht="15.75" hidden="1" customHeight="1" x14ac:dyDescent="0.25">
      <c r="B20" s="101" t="s">
        <v>3</v>
      </c>
      <c r="C20" s="110" t="s">
        <v>2</v>
      </c>
      <c r="D20" s="105"/>
      <c r="E20" s="105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7"/>
      <c r="Q20" s="111" t="s">
        <v>147</v>
      </c>
      <c r="R20" s="107"/>
      <c r="S20" s="107"/>
      <c r="T20" s="107"/>
      <c r="U20" s="107">
        <v>16</v>
      </c>
      <c r="V20" s="107" t="s">
        <v>3</v>
      </c>
      <c r="X20" s="121"/>
      <c r="Y20" s="122"/>
      <c r="Z20" s="122"/>
    </row>
    <row r="21" spans="2:26" x14ac:dyDescent="0.25">
      <c r="B21" s="101" t="s">
        <v>280</v>
      </c>
      <c r="C21" s="110" t="s">
        <v>242</v>
      </c>
      <c r="D21" s="105" t="s">
        <v>139</v>
      </c>
      <c r="E21" s="105" t="s">
        <v>254</v>
      </c>
      <c r="F21" s="105"/>
      <c r="G21" s="105" t="s">
        <v>240</v>
      </c>
      <c r="H21" s="105"/>
      <c r="I21" s="105" t="s">
        <v>237</v>
      </c>
      <c r="J21" s="105"/>
      <c r="K21" s="105"/>
      <c r="L21" s="105"/>
      <c r="M21" s="105"/>
      <c r="N21" s="105"/>
      <c r="O21" s="105"/>
      <c r="P21" s="111" t="s">
        <v>187</v>
      </c>
      <c r="Q21" s="111" t="s">
        <v>160</v>
      </c>
      <c r="R21" s="111" t="s">
        <v>162</v>
      </c>
      <c r="S21" s="111">
        <v>9216</v>
      </c>
      <c r="T21" s="111" t="s">
        <v>161</v>
      </c>
      <c r="U21" s="107">
        <v>17</v>
      </c>
      <c r="V21" s="107" t="s">
        <v>4</v>
      </c>
    </row>
    <row r="22" spans="2:26" x14ac:dyDescent="0.25">
      <c r="B22" s="101" t="s">
        <v>281</v>
      </c>
      <c r="C22" s="110" t="s">
        <v>242</v>
      </c>
      <c r="D22" s="105" t="s">
        <v>140</v>
      </c>
      <c r="E22" s="105" t="s">
        <v>254</v>
      </c>
      <c r="F22" s="105"/>
      <c r="G22" s="105" t="s">
        <v>240</v>
      </c>
      <c r="H22" s="105"/>
      <c r="I22" s="105" t="s">
        <v>237</v>
      </c>
      <c r="J22" s="105"/>
      <c r="K22" s="105"/>
      <c r="L22" s="105"/>
      <c r="M22" s="105"/>
      <c r="N22" s="105"/>
      <c r="O22" s="105"/>
      <c r="P22" s="111" t="s">
        <v>187</v>
      </c>
      <c r="Q22" s="111" t="s">
        <v>160</v>
      </c>
      <c r="R22" s="111" t="s">
        <v>162</v>
      </c>
      <c r="S22" s="111">
        <v>9216</v>
      </c>
      <c r="T22" s="111" t="s">
        <v>161</v>
      </c>
      <c r="U22" s="107">
        <v>18</v>
      </c>
      <c r="V22" s="107" t="s">
        <v>4</v>
      </c>
      <c r="X22" s="147" t="s">
        <v>8</v>
      </c>
      <c r="Y22" s="148"/>
      <c r="Z22" s="125" t="s">
        <v>143</v>
      </c>
    </row>
    <row r="23" spans="2:26" x14ac:dyDescent="0.25">
      <c r="B23" s="101" t="s">
        <v>282</v>
      </c>
      <c r="C23" s="110" t="s">
        <v>242</v>
      </c>
      <c r="D23" s="105" t="s">
        <v>249</v>
      </c>
      <c r="E23" s="105" t="s">
        <v>254</v>
      </c>
      <c r="F23" s="105"/>
      <c r="G23" s="105" t="s">
        <v>240</v>
      </c>
      <c r="H23" s="105"/>
      <c r="I23" s="105" t="s">
        <v>237</v>
      </c>
      <c r="J23" s="105"/>
      <c r="K23" s="105"/>
      <c r="L23" s="105"/>
      <c r="M23" s="105"/>
      <c r="N23" s="105"/>
      <c r="O23" s="105"/>
      <c r="P23" s="111" t="s">
        <v>187</v>
      </c>
      <c r="Q23" s="111" t="s">
        <v>160</v>
      </c>
      <c r="R23" s="111" t="s">
        <v>162</v>
      </c>
      <c r="S23" s="111">
        <v>9216</v>
      </c>
      <c r="T23" s="111" t="s">
        <v>161</v>
      </c>
      <c r="U23" s="107">
        <v>19</v>
      </c>
      <c r="V23" s="107" t="s">
        <v>4</v>
      </c>
      <c r="X23" s="101" t="s">
        <v>28</v>
      </c>
      <c r="Y23" s="101" t="s">
        <v>0</v>
      </c>
      <c r="Z23" s="101" t="s">
        <v>143</v>
      </c>
    </row>
    <row r="24" spans="2:26" x14ac:dyDescent="0.25">
      <c r="B24" s="101" t="s">
        <v>283</v>
      </c>
      <c r="C24" s="110" t="s">
        <v>2</v>
      </c>
      <c r="D24" s="105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7"/>
      <c r="Q24" s="111" t="s">
        <v>147</v>
      </c>
      <c r="R24" s="107"/>
      <c r="S24" s="107"/>
      <c r="T24" s="107"/>
      <c r="U24" s="107">
        <v>20</v>
      </c>
      <c r="V24" s="107" t="s">
        <v>3</v>
      </c>
      <c r="X24" s="101">
        <f>OOB</f>
        <v>110</v>
      </c>
      <c r="Y24" s="101" t="str">
        <f>OOB_NAME</f>
        <v>OOB</v>
      </c>
      <c r="Z24" s="101" t="s">
        <v>20</v>
      </c>
    </row>
    <row r="25" spans="2:26" x14ac:dyDescent="0.25">
      <c r="B25" s="101" t="s">
        <v>298</v>
      </c>
      <c r="C25" s="110" t="s">
        <v>2</v>
      </c>
      <c r="D25" s="105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7"/>
      <c r="Q25" s="111" t="s">
        <v>147</v>
      </c>
      <c r="R25" s="107"/>
      <c r="S25" s="107"/>
      <c r="T25" s="107"/>
      <c r="U25" s="105">
        <v>21</v>
      </c>
      <c r="V25" s="107" t="s">
        <v>3</v>
      </c>
      <c r="X25" s="101">
        <f>Provisioner</f>
        <v>120</v>
      </c>
      <c r="Y25" s="101" t="str">
        <f>Prov_name</f>
        <v>Provisioner</v>
      </c>
      <c r="Z25" s="101" t="s">
        <v>20</v>
      </c>
    </row>
    <row r="26" spans="2:26" ht="15.75" hidden="1" customHeight="1" x14ac:dyDescent="0.25">
      <c r="B26" s="101" t="s">
        <v>3</v>
      </c>
      <c r="C26" s="110" t="s">
        <v>2</v>
      </c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7"/>
      <c r="Q26" s="111" t="s">
        <v>147</v>
      </c>
      <c r="R26" s="107"/>
      <c r="S26" s="107"/>
      <c r="T26" s="107"/>
      <c r="U26" s="105">
        <v>22</v>
      </c>
      <c r="V26" s="107" t="s">
        <v>3</v>
      </c>
      <c r="X26" s="101">
        <f>PrivAPI</f>
        <v>140</v>
      </c>
      <c r="Y26" s="101" t="str">
        <f>PrivAPI_name</f>
        <v>Private API</v>
      </c>
      <c r="Z26" s="101" t="s">
        <v>153</v>
      </c>
    </row>
    <row r="27" spans="2:26" hidden="1" x14ac:dyDescent="0.25">
      <c r="B27" s="101" t="s">
        <v>3</v>
      </c>
      <c r="C27" s="110" t="s">
        <v>2</v>
      </c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7"/>
      <c r="Q27" s="111" t="s">
        <v>147</v>
      </c>
      <c r="R27" s="107"/>
      <c r="S27" s="107"/>
      <c r="T27" s="107"/>
      <c r="U27" s="105">
        <v>23</v>
      </c>
      <c r="V27" s="107" t="s">
        <v>3</v>
      </c>
      <c r="X27" s="101">
        <f>Storage</f>
        <v>170</v>
      </c>
      <c r="Y27" s="114" t="str">
        <f>stor_name</f>
        <v>Storage Network</v>
      </c>
      <c r="Z27" s="101" t="s">
        <v>153</v>
      </c>
    </row>
    <row r="28" spans="2:26" hidden="1" x14ac:dyDescent="0.25">
      <c r="B28" s="101" t="s">
        <v>3</v>
      </c>
      <c r="C28" s="110" t="s">
        <v>2</v>
      </c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7"/>
      <c r="Q28" s="111" t="s">
        <v>147</v>
      </c>
      <c r="R28" s="107"/>
      <c r="S28" s="107"/>
      <c r="T28" s="107"/>
      <c r="U28" s="105">
        <v>24</v>
      </c>
      <c r="V28" s="107" t="s">
        <v>3</v>
      </c>
      <c r="X28" s="101">
        <f>CephCluster</f>
        <v>180</v>
      </c>
      <c r="Y28" s="101" t="str">
        <f>ceph_clust_name</f>
        <v>Ceph Storage Cluster Vlan</v>
      </c>
      <c r="Z28" s="101" t="s">
        <v>153</v>
      </c>
    </row>
    <row r="29" spans="2:26" x14ac:dyDescent="0.25">
      <c r="B29" s="101" t="s">
        <v>299</v>
      </c>
      <c r="C29" s="110" t="s">
        <v>2</v>
      </c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7"/>
      <c r="Q29" s="111" t="s">
        <v>147</v>
      </c>
      <c r="R29" s="107"/>
      <c r="S29" s="107"/>
      <c r="T29" s="107"/>
      <c r="U29" s="107">
        <v>25</v>
      </c>
      <c r="V29" s="107" t="s">
        <v>3</v>
      </c>
      <c r="X29" s="101">
        <f>ExtAPI</f>
        <v>1221</v>
      </c>
      <c r="Y29" s="101" t="str">
        <f>PubAPI_Name</f>
        <v>Public API Network</v>
      </c>
      <c r="Z29" s="101" t="s">
        <v>20</v>
      </c>
    </row>
    <row r="30" spans="2:26" hidden="1" x14ac:dyDescent="0.25">
      <c r="B30" s="101" t="s">
        <v>3</v>
      </c>
      <c r="C30" s="110" t="s">
        <v>2</v>
      </c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7"/>
      <c r="Q30" s="111" t="s">
        <v>147</v>
      </c>
      <c r="R30" s="107"/>
      <c r="S30" s="107"/>
      <c r="T30" s="107"/>
      <c r="U30" s="107">
        <v>26</v>
      </c>
      <c r="V30" s="107" t="s">
        <v>3</v>
      </c>
      <c r="X30" s="101">
        <f>EXTTen</f>
        <v>1222</v>
      </c>
      <c r="Y30" s="101" t="str">
        <f>Ext_net_name</f>
        <v>External Network for Tenants (floating IP)</v>
      </c>
      <c r="Z30" s="101" t="s">
        <v>153</v>
      </c>
    </row>
    <row r="31" spans="2:26" hidden="1" x14ac:dyDescent="0.25">
      <c r="B31" s="101" t="s">
        <v>3</v>
      </c>
      <c r="C31" s="110" t="s">
        <v>2</v>
      </c>
      <c r="D31" s="105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7"/>
      <c r="Q31" s="111" t="s">
        <v>147</v>
      </c>
      <c r="R31" s="107"/>
      <c r="S31" s="107"/>
      <c r="T31" s="107"/>
      <c r="U31" s="107">
        <v>27</v>
      </c>
      <c r="V31" s="107" t="s">
        <v>3</v>
      </c>
      <c r="X31" s="101" t="str">
        <f>CONCATENATE(TenantBeg,"-",TenantEnd)</f>
        <v>201-250</v>
      </c>
      <c r="Y31" s="101" t="s">
        <v>146</v>
      </c>
      <c r="Z31" s="101" t="s">
        <v>153</v>
      </c>
    </row>
    <row r="32" spans="2:26" hidden="1" x14ac:dyDescent="0.25">
      <c r="B32" s="101" t="s">
        <v>3</v>
      </c>
      <c r="C32" s="110" t="s">
        <v>2</v>
      </c>
      <c r="D32" s="105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7"/>
      <c r="Q32" s="111" t="s">
        <v>147</v>
      </c>
      <c r="R32" s="107"/>
      <c r="S32" s="107"/>
      <c r="T32" s="107"/>
      <c r="U32" s="107">
        <v>28</v>
      </c>
      <c r="V32" s="107" t="s">
        <v>3</v>
      </c>
      <c r="X32" s="153" t="s">
        <v>24</v>
      </c>
      <c r="Y32" s="154"/>
      <c r="Z32" s="125"/>
    </row>
    <row r="33" spans="2:26" x14ac:dyDescent="0.25">
      <c r="B33" s="101" t="s">
        <v>300</v>
      </c>
      <c r="C33" s="110" t="s">
        <v>2</v>
      </c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7"/>
      <c r="Q33" s="111" t="s">
        <v>147</v>
      </c>
      <c r="R33" s="107"/>
      <c r="S33" s="107"/>
      <c r="T33" s="107"/>
      <c r="U33" s="107">
        <v>29</v>
      </c>
      <c r="V33" s="107" t="s">
        <v>3</v>
      </c>
      <c r="X33" s="101" t="s">
        <v>1</v>
      </c>
      <c r="Y33" s="101" t="s">
        <v>25</v>
      </c>
      <c r="Z33" s="101" t="s">
        <v>143</v>
      </c>
    </row>
    <row r="34" spans="2:26" hidden="1" x14ac:dyDescent="0.25">
      <c r="B34" s="101" t="s">
        <v>3</v>
      </c>
      <c r="C34" s="110" t="s">
        <v>2</v>
      </c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7"/>
      <c r="Q34" s="111" t="s">
        <v>147</v>
      </c>
      <c r="R34" s="107"/>
      <c r="S34" s="107"/>
      <c r="T34" s="107"/>
      <c r="U34" s="107">
        <v>30</v>
      </c>
      <c r="V34" s="107" t="s">
        <v>3</v>
      </c>
      <c r="X34" s="101" t="s">
        <v>184</v>
      </c>
      <c r="Y34" s="126"/>
      <c r="Z34" s="101" t="s">
        <v>20</v>
      </c>
    </row>
    <row r="35" spans="2:26" hidden="1" x14ac:dyDescent="0.25">
      <c r="B35" s="101" t="s">
        <v>3</v>
      </c>
      <c r="C35" s="110" t="s">
        <v>2</v>
      </c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7"/>
      <c r="Q35" s="111" t="s">
        <v>147</v>
      </c>
      <c r="R35" s="107"/>
      <c r="S35" s="107"/>
      <c r="T35" s="107"/>
      <c r="U35" s="107">
        <v>31</v>
      </c>
      <c r="V35" s="107" t="s">
        <v>3</v>
      </c>
      <c r="X35" s="101">
        <f>OOB</f>
        <v>110</v>
      </c>
      <c r="Y35" s="126"/>
      <c r="Z35" s="101" t="s">
        <v>144</v>
      </c>
    </row>
    <row r="36" spans="2:26" hidden="1" x14ac:dyDescent="0.25">
      <c r="B36" s="101" t="s">
        <v>3</v>
      </c>
      <c r="C36" s="110" t="s">
        <v>2</v>
      </c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7"/>
      <c r="Q36" s="111" t="s">
        <v>147</v>
      </c>
      <c r="R36" s="107"/>
      <c r="S36" s="107"/>
      <c r="T36" s="107"/>
      <c r="U36" s="107">
        <v>32</v>
      </c>
      <c r="V36" s="107" t="s">
        <v>3</v>
      </c>
      <c r="X36" s="101">
        <f>Provisioner</f>
        <v>120</v>
      </c>
      <c r="Y36" s="126"/>
      <c r="Z36" s="101" t="s">
        <v>144</v>
      </c>
    </row>
    <row r="37" spans="2:26" x14ac:dyDescent="0.25">
      <c r="B37" s="101" t="s">
        <v>301</v>
      </c>
      <c r="C37" s="110" t="s">
        <v>2</v>
      </c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7"/>
      <c r="Q37" s="111" t="s">
        <v>147</v>
      </c>
      <c r="R37" s="107"/>
      <c r="S37" s="107"/>
      <c r="T37" s="107"/>
      <c r="U37" s="107">
        <v>33</v>
      </c>
      <c r="V37" s="107" t="s">
        <v>3</v>
      </c>
      <c r="X37" s="101">
        <f>PrivAPI</f>
        <v>140</v>
      </c>
      <c r="Y37" s="126"/>
      <c r="Z37" s="101" t="s">
        <v>153</v>
      </c>
    </row>
    <row r="38" spans="2:26" hidden="1" x14ac:dyDescent="0.25">
      <c r="B38" s="101" t="s">
        <v>3</v>
      </c>
      <c r="C38" s="110" t="s">
        <v>2</v>
      </c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7"/>
      <c r="Q38" s="111" t="s">
        <v>147</v>
      </c>
      <c r="R38" s="107"/>
      <c r="S38" s="107"/>
      <c r="T38" s="107"/>
      <c r="U38" s="107">
        <v>34</v>
      </c>
      <c r="V38" s="107" t="s">
        <v>3</v>
      </c>
      <c r="X38" s="101">
        <f>Storage</f>
        <v>170</v>
      </c>
      <c r="Y38" s="126"/>
      <c r="Z38" s="101" t="s">
        <v>153</v>
      </c>
    </row>
    <row r="39" spans="2:26" hidden="1" x14ac:dyDescent="0.25">
      <c r="B39" s="101" t="s">
        <v>3</v>
      </c>
      <c r="C39" s="110" t="s">
        <v>2</v>
      </c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7"/>
      <c r="Q39" s="111" t="s">
        <v>147</v>
      </c>
      <c r="R39" s="107"/>
      <c r="S39" s="107"/>
      <c r="T39" s="107"/>
      <c r="U39" s="107">
        <v>35</v>
      </c>
      <c r="V39" s="107" t="s">
        <v>3</v>
      </c>
      <c r="X39" s="101">
        <f>CephCluster</f>
        <v>180</v>
      </c>
      <c r="Y39" s="126"/>
      <c r="Z39" s="101" t="s">
        <v>153</v>
      </c>
    </row>
    <row r="40" spans="2:26" hidden="1" x14ac:dyDescent="0.25">
      <c r="B40" s="101" t="s">
        <v>3</v>
      </c>
      <c r="C40" s="110" t="s">
        <v>2</v>
      </c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7"/>
      <c r="Q40" s="111" t="s">
        <v>147</v>
      </c>
      <c r="R40" s="107"/>
      <c r="S40" s="107"/>
      <c r="T40" s="107"/>
      <c r="U40" s="107">
        <v>36</v>
      </c>
      <c r="V40" s="107" t="s">
        <v>3</v>
      </c>
      <c r="X40" s="101">
        <f>ExtAPI</f>
        <v>1221</v>
      </c>
      <c r="Y40" s="126"/>
      <c r="Z40" s="101" t="s">
        <v>20</v>
      </c>
    </row>
    <row r="41" spans="2:26" x14ac:dyDescent="0.25">
      <c r="B41" s="101" t="s">
        <v>302</v>
      </c>
      <c r="C41" s="110" t="s">
        <v>2</v>
      </c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  <c r="O41" s="105"/>
      <c r="P41" s="107"/>
      <c r="Q41" s="111" t="s">
        <v>147</v>
      </c>
      <c r="R41" s="107"/>
      <c r="S41" s="107"/>
      <c r="T41" s="107"/>
      <c r="U41" s="107">
        <v>37</v>
      </c>
      <c r="V41" s="107" t="s">
        <v>3</v>
      </c>
      <c r="X41" s="101" t="str">
        <f>CONCATENATE(TenantBeg,"-",TenantEnd)</f>
        <v>201-250</v>
      </c>
      <c r="Y41" s="126"/>
      <c r="Z41" s="101" t="s">
        <v>153</v>
      </c>
    </row>
    <row r="42" spans="2:26" hidden="1" x14ac:dyDescent="0.25">
      <c r="B42" s="101" t="s">
        <v>3</v>
      </c>
      <c r="C42" s="110" t="s">
        <v>2</v>
      </c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7"/>
      <c r="Q42" s="111" t="s">
        <v>147</v>
      </c>
      <c r="R42" s="107"/>
      <c r="S42" s="107"/>
      <c r="T42" s="107"/>
      <c r="U42" s="107">
        <v>38</v>
      </c>
      <c r="V42" s="107" t="s">
        <v>3</v>
      </c>
    </row>
    <row r="43" spans="2:26" hidden="1" x14ac:dyDescent="0.25">
      <c r="B43" s="101" t="s">
        <v>3</v>
      </c>
      <c r="C43" s="110" t="s">
        <v>2</v>
      </c>
      <c r="D43" s="105"/>
      <c r="E43" s="105"/>
      <c r="F43" s="105"/>
      <c r="G43" s="105"/>
      <c r="H43" s="105"/>
      <c r="I43" s="105"/>
      <c r="J43" s="105"/>
      <c r="K43" s="105"/>
      <c r="L43" s="105"/>
      <c r="M43" s="105"/>
      <c r="N43" s="105"/>
      <c r="O43" s="105"/>
      <c r="P43" s="107"/>
      <c r="Q43" s="111" t="s">
        <v>147</v>
      </c>
      <c r="R43" s="107"/>
      <c r="S43" s="107"/>
      <c r="T43" s="107"/>
      <c r="U43" s="107">
        <v>39</v>
      </c>
      <c r="V43" s="107" t="s">
        <v>3</v>
      </c>
      <c r="X43" s="147" t="s">
        <v>26</v>
      </c>
      <c r="Y43" s="148"/>
      <c r="Z43" s="125"/>
    </row>
    <row r="44" spans="2:26" hidden="1" x14ac:dyDescent="0.25">
      <c r="B44" s="101" t="s">
        <v>3</v>
      </c>
      <c r="C44" s="110" t="s">
        <v>2</v>
      </c>
      <c r="D44" s="105"/>
      <c r="E44" s="105"/>
      <c r="F44" s="105"/>
      <c r="G44" s="105"/>
      <c r="H44" s="105"/>
      <c r="I44" s="105"/>
      <c r="J44" s="105"/>
      <c r="K44" s="105"/>
      <c r="L44" s="105"/>
      <c r="M44" s="105"/>
      <c r="N44" s="105"/>
      <c r="O44" s="105"/>
      <c r="P44" s="107"/>
      <c r="Q44" s="111" t="s">
        <v>147</v>
      </c>
      <c r="R44" s="107"/>
      <c r="S44" s="107"/>
      <c r="T44" s="107"/>
      <c r="U44" s="107">
        <v>40</v>
      </c>
      <c r="V44" s="107" t="s">
        <v>3</v>
      </c>
      <c r="X44" s="101" t="s">
        <v>12</v>
      </c>
      <c r="Y44" s="101" t="s">
        <v>5</v>
      </c>
      <c r="Z44" s="101" t="s">
        <v>143</v>
      </c>
    </row>
    <row r="45" spans="2:26" x14ac:dyDescent="0.25">
      <c r="B45" s="101" t="s">
        <v>303</v>
      </c>
      <c r="C45" s="110" t="s">
        <v>2</v>
      </c>
      <c r="D45" s="105"/>
      <c r="E45" s="105"/>
      <c r="F45" s="105"/>
      <c r="G45" s="105"/>
      <c r="H45" s="105"/>
      <c r="I45" s="105"/>
      <c r="J45" s="105"/>
      <c r="K45" s="105"/>
      <c r="L45" s="105"/>
      <c r="M45" s="105"/>
      <c r="N45" s="105"/>
      <c r="O45" s="105"/>
      <c r="P45" s="107"/>
      <c r="Q45" s="111" t="s">
        <v>147</v>
      </c>
      <c r="R45" s="107"/>
      <c r="S45" s="107"/>
      <c r="T45" s="107"/>
      <c r="U45" s="107">
        <v>41</v>
      </c>
      <c r="V45" s="107" t="s">
        <v>3</v>
      </c>
      <c r="X45" s="101" t="s">
        <v>27</v>
      </c>
    </row>
    <row r="46" spans="2:26" hidden="1" x14ac:dyDescent="0.25">
      <c r="B46" s="101" t="s">
        <v>3</v>
      </c>
      <c r="C46" s="110" t="s">
        <v>2</v>
      </c>
      <c r="D46" s="105"/>
      <c r="E46" s="105"/>
      <c r="F46" s="105"/>
      <c r="G46" s="105"/>
      <c r="H46" s="105"/>
      <c r="I46" s="105"/>
      <c r="J46" s="105"/>
      <c r="K46" s="105"/>
      <c r="L46" s="105"/>
      <c r="M46" s="105"/>
      <c r="N46" s="105"/>
      <c r="O46" s="105"/>
      <c r="P46" s="107"/>
      <c r="Q46" s="111" t="s">
        <v>147</v>
      </c>
      <c r="R46" s="107"/>
      <c r="S46" s="107"/>
      <c r="T46" s="107"/>
      <c r="U46" s="107">
        <v>42</v>
      </c>
      <c r="V46" s="107" t="s">
        <v>3</v>
      </c>
    </row>
    <row r="47" spans="2:26" hidden="1" x14ac:dyDescent="0.25">
      <c r="B47" s="101" t="s">
        <v>3</v>
      </c>
      <c r="C47" s="110" t="s">
        <v>2</v>
      </c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107"/>
      <c r="Q47" s="111" t="s">
        <v>147</v>
      </c>
      <c r="R47" s="107"/>
      <c r="S47" s="107"/>
      <c r="T47" s="107"/>
      <c r="U47" s="107">
        <v>43</v>
      </c>
      <c r="V47" s="107" t="s">
        <v>3</v>
      </c>
    </row>
    <row r="48" spans="2:26" hidden="1" x14ac:dyDescent="0.25">
      <c r="B48" s="101" t="s">
        <v>3</v>
      </c>
      <c r="C48" s="110" t="s">
        <v>2</v>
      </c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105"/>
      <c r="P48" s="107"/>
      <c r="Q48" s="111" t="s">
        <v>147</v>
      </c>
      <c r="R48" s="107"/>
      <c r="S48" s="107"/>
      <c r="T48" s="107"/>
      <c r="U48" s="107">
        <v>44</v>
      </c>
      <c r="V48" s="107" t="s">
        <v>3</v>
      </c>
    </row>
    <row r="49" spans="2:26" ht="15.75" customHeight="1" x14ac:dyDescent="0.25">
      <c r="B49" s="101" t="s">
        <v>304</v>
      </c>
      <c r="C49" s="110" t="s">
        <v>2</v>
      </c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  <c r="P49" s="107"/>
      <c r="Q49" s="111" t="s">
        <v>147</v>
      </c>
      <c r="R49" s="107"/>
      <c r="S49" s="107"/>
      <c r="T49" s="107"/>
      <c r="U49" s="107">
        <v>45</v>
      </c>
      <c r="V49" s="107" t="s">
        <v>3</v>
      </c>
      <c r="X49" s="143" t="s">
        <v>192</v>
      </c>
      <c r="Y49" s="143"/>
      <c r="Z49" s="143"/>
    </row>
    <row r="50" spans="2:26" ht="15.75" hidden="1" customHeight="1" x14ac:dyDescent="0.25">
      <c r="B50" s="101" t="s">
        <v>3</v>
      </c>
      <c r="C50" s="110" t="s">
        <v>2</v>
      </c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05"/>
      <c r="P50" s="107"/>
      <c r="Q50" s="111" t="s">
        <v>147</v>
      </c>
      <c r="R50" s="107"/>
      <c r="S50" s="107"/>
      <c r="T50" s="107"/>
      <c r="U50" s="107">
        <v>46</v>
      </c>
      <c r="V50" s="107" t="s">
        <v>3</v>
      </c>
      <c r="X50" s="143"/>
      <c r="Y50" s="143"/>
      <c r="Z50" s="143"/>
    </row>
    <row r="51" spans="2:26" ht="15.75" hidden="1" customHeight="1" x14ac:dyDescent="0.25">
      <c r="B51" s="101" t="s">
        <v>3</v>
      </c>
      <c r="C51" s="110" t="s">
        <v>2</v>
      </c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7"/>
      <c r="Q51" s="111" t="s">
        <v>147</v>
      </c>
      <c r="R51" s="107"/>
      <c r="S51" s="107"/>
      <c r="T51" s="107"/>
      <c r="U51" s="107">
        <v>47</v>
      </c>
      <c r="V51" s="107" t="s">
        <v>3</v>
      </c>
      <c r="X51" s="143"/>
      <c r="Y51" s="143"/>
      <c r="Z51" s="143"/>
    </row>
    <row r="52" spans="2:26" ht="15.75" hidden="1" customHeight="1" x14ac:dyDescent="0.25">
      <c r="B52" s="101" t="s">
        <v>3</v>
      </c>
      <c r="C52" s="110" t="s">
        <v>2</v>
      </c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5"/>
      <c r="O52" s="105"/>
      <c r="P52" s="107"/>
      <c r="Q52" s="111" t="s">
        <v>147</v>
      </c>
      <c r="R52" s="107"/>
      <c r="S52" s="107"/>
      <c r="T52" s="107"/>
      <c r="U52" s="107">
        <v>48</v>
      </c>
      <c r="V52" s="107" t="s">
        <v>3</v>
      </c>
      <c r="X52" s="143"/>
      <c r="Y52" s="143"/>
      <c r="Z52" s="143"/>
    </row>
    <row r="53" spans="2:26" x14ac:dyDescent="0.25">
      <c r="B53" s="101" t="s">
        <v>284</v>
      </c>
      <c r="C53" s="110" t="s">
        <v>242</v>
      </c>
      <c r="D53" s="110" t="s">
        <v>145</v>
      </c>
      <c r="E53" s="105" t="s">
        <v>255</v>
      </c>
      <c r="F53" s="105"/>
      <c r="G53" s="105"/>
      <c r="H53" s="105"/>
      <c r="I53" s="105"/>
      <c r="J53" s="105" t="s">
        <v>237</v>
      </c>
      <c r="K53" s="105" t="s">
        <v>237</v>
      </c>
      <c r="L53" s="105"/>
      <c r="M53" s="105"/>
      <c r="N53" s="105"/>
      <c r="O53" s="105"/>
      <c r="P53" s="107" t="s">
        <v>188</v>
      </c>
      <c r="Q53" s="111" t="s">
        <v>160</v>
      </c>
      <c r="R53" s="111" t="s">
        <v>162</v>
      </c>
      <c r="S53" s="111">
        <v>9216</v>
      </c>
      <c r="T53" s="111" t="s">
        <v>161</v>
      </c>
      <c r="U53" s="107">
        <v>49</v>
      </c>
      <c r="V53" s="107" t="s">
        <v>4</v>
      </c>
      <c r="X53" s="143"/>
      <c r="Y53" s="143"/>
      <c r="Z53" s="143"/>
    </row>
    <row r="54" spans="2:26" x14ac:dyDescent="0.25">
      <c r="B54" s="101" t="s">
        <v>285</v>
      </c>
      <c r="C54" s="110" t="s">
        <v>242</v>
      </c>
      <c r="D54" s="110" t="s">
        <v>246</v>
      </c>
      <c r="E54" s="105" t="s">
        <v>255</v>
      </c>
      <c r="F54" s="107"/>
      <c r="G54" s="107"/>
      <c r="H54" s="107"/>
      <c r="I54" s="107"/>
      <c r="J54" s="107" t="s">
        <v>237</v>
      </c>
      <c r="K54" s="107" t="s">
        <v>237</v>
      </c>
      <c r="L54" s="107"/>
      <c r="M54" s="107"/>
      <c r="N54" s="107"/>
      <c r="O54" s="105"/>
      <c r="P54" s="107" t="s">
        <v>188</v>
      </c>
      <c r="Q54" s="111" t="s">
        <v>160</v>
      </c>
      <c r="R54" s="111" t="s">
        <v>162</v>
      </c>
      <c r="S54" s="111">
        <v>9216</v>
      </c>
      <c r="T54" s="111" t="s">
        <v>161</v>
      </c>
      <c r="U54" s="107">
        <v>50</v>
      </c>
      <c r="V54" s="107" t="s">
        <v>4</v>
      </c>
      <c r="X54" s="143"/>
      <c r="Y54" s="143"/>
      <c r="Z54" s="143"/>
    </row>
    <row r="55" spans="2:26" x14ac:dyDescent="0.25">
      <c r="B55" s="101" t="s">
        <v>286</v>
      </c>
      <c r="C55" s="110" t="s">
        <v>242</v>
      </c>
      <c r="D55" s="110" t="s">
        <v>247</v>
      </c>
      <c r="E55" s="105" t="s">
        <v>255</v>
      </c>
      <c r="F55" s="107"/>
      <c r="G55" s="107"/>
      <c r="H55" s="107"/>
      <c r="I55" s="107"/>
      <c r="J55" s="107" t="s">
        <v>237</v>
      </c>
      <c r="K55" s="107" t="s">
        <v>237</v>
      </c>
      <c r="L55" s="107"/>
      <c r="M55" s="107"/>
      <c r="N55" s="107"/>
      <c r="O55" s="105"/>
      <c r="P55" s="107" t="s">
        <v>188</v>
      </c>
      <c r="Q55" s="111" t="s">
        <v>160</v>
      </c>
      <c r="R55" s="111" t="s">
        <v>162</v>
      </c>
      <c r="S55" s="111">
        <v>9216</v>
      </c>
      <c r="T55" s="111" t="s">
        <v>161</v>
      </c>
      <c r="U55" s="107">
        <v>51</v>
      </c>
      <c r="V55" s="107" t="s">
        <v>4</v>
      </c>
    </row>
    <row r="56" spans="2:26" x14ac:dyDescent="0.25">
      <c r="B56" s="101" t="s">
        <v>287</v>
      </c>
      <c r="C56" s="110" t="s">
        <v>242</v>
      </c>
      <c r="D56" s="110" t="s">
        <v>248</v>
      </c>
      <c r="E56" s="105" t="s">
        <v>255</v>
      </c>
      <c r="F56" s="107"/>
      <c r="G56" s="107"/>
      <c r="H56" s="107"/>
      <c r="I56" s="107"/>
      <c r="J56" s="107" t="s">
        <v>237</v>
      </c>
      <c r="K56" s="107" t="s">
        <v>237</v>
      </c>
      <c r="L56" s="107"/>
      <c r="M56" s="107"/>
      <c r="N56" s="107"/>
      <c r="O56" s="105"/>
      <c r="P56" s="107" t="s">
        <v>188</v>
      </c>
      <c r="Q56" s="111" t="s">
        <v>160</v>
      </c>
      <c r="R56" s="111" t="s">
        <v>162</v>
      </c>
      <c r="S56" s="111">
        <v>9216</v>
      </c>
      <c r="T56" s="111" t="s">
        <v>161</v>
      </c>
      <c r="U56" s="107">
        <v>52</v>
      </c>
      <c r="V56" s="107" t="s">
        <v>4</v>
      </c>
    </row>
    <row r="57" spans="2:26" x14ac:dyDescent="0.25">
      <c r="B57" s="101" t="s">
        <v>288</v>
      </c>
      <c r="C57" s="110" t="s">
        <v>242</v>
      </c>
      <c r="D57" s="105" t="s">
        <v>243</v>
      </c>
      <c r="E57" s="105" t="s">
        <v>255</v>
      </c>
      <c r="F57" s="105"/>
      <c r="G57" s="105"/>
      <c r="H57" s="105" t="s">
        <v>237</v>
      </c>
      <c r="I57" s="105"/>
      <c r="J57" s="105"/>
      <c r="K57" s="105"/>
      <c r="L57" s="105"/>
      <c r="M57" s="105"/>
      <c r="N57" s="105"/>
      <c r="O57" s="105"/>
      <c r="P57" s="107" t="s">
        <v>188</v>
      </c>
      <c r="Q57" s="111" t="s">
        <v>160</v>
      </c>
      <c r="R57" s="111" t="s">
        <v>162</v>
      </c>
      <c r="S57" s="111">
        <v>9216</v>
      </c>
      <c r="T57" s="111" t="s">
        <v>161</v>
      </c>
      <c r="U57" s="107">
        <v>53</v>
      </c>
      <c r="V57" s="107" t="s">
        <v>4</v>
      </c>
    </row>
    <row r="58" spans="2:26" x14ac:dyDescent="0.25">
      <c r="B58" s="101" t="s">
        <v>289</v>
      </c>
      <c r="C58" s="110" t="s">
        <v>242</v>
      </c>
      <c r="D58" s="105" t="s">
        <v>244</v>
      </c>
      <c r="E58" s="105" t="s">
        <v>255</v>
      </c>
      <c r="F58" s="105"/>
      <c r="G58" s="105"/>
      <c r="H58" s="105" t="s">
        <v>237</v>
      </c>
      <c r="I58" s="105"/>
      <c r="J58" s="105"/>
      <c r="K58" s="105"/>
      <c r="L58" s="105"/>
      <c r="M58" s="105"/>
      <c r="N58" s="105"/>
      <c r="O58" s="105"/>
      <c r="P58" s="107" t="s">
        <v>188</v>
      </c>
      <c r="Q58" s="111" t="s">
        <v>160</v>
      </c>
      <c r="R58" s="111" t="s">
        <v>162</v>
      </c>
      <c r="S58" s="111">
        <v>9216</v>
      </c>
      <c r="T58" s="111" t="s">
        <v>161</v>
      </c>
      <c r="U58" s="107">
        <v>54</v>
      </c>
      <c r="V58" s="107" t="s">
        <v>4</v>
      </c>
    </row>
    <row r="59" spans="2:26" x14ac:dyDescent="0.25">
      <c r="B59" s="101" t="s">
        <v>290</v>
      </c>
      <c r="C59" s="110" t="s">
        <v>242</v>
      </c>
      <c r="D59" s="105" t="s">
        <v>245</v>
      </c>
      <c r="E59" s="105" t="s">
        <v>255</v>
      </c>
      <c r="F59" s="105"/>
      <c r="G59" s="105"/>
      <c r="H59" s="105" t="s">
        <v>237</v>
      </c>
      <c r="I59" s="105"/>
      <c r="J59" s="105"/>
      <c r="K59" s="105"/>
      <c r="L59" s="105"/>
      <c r="M59" s="105"/>
      <c r="N59" s="105"/>
      <c r="O59" s="105"/>
      <c r="P59" s="107" t="s">
        <v>188</v>
      </c>
      <c r="Q59" s="111" t="s">
        <v>160</v>
      </c>
      <c r="R59" s="111" t="s">
        <v>162</v>
      </c>
      <c r="S59" s="111">
        <v>9216</v>
      </c>
      <c r="T59" s="111" t="s">
        <v>161</v>
      </c>
      <c r="U59" s="107">
        <v>55</v>
      </c>
      <c r="V59" s="107" t="s">
        <v>4</v>
      </c>
    </row>
    <row r="60" spans="2:26" x14ac:dyDescent="0.25">
      <c r="B60" s="101" t="s">
        <v>291</v>
      </c>
      <c r="C60" s="110" t="s">
        <v>2</v>
      </c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  <c r="Q60" s="111" t="s">
        <v>147</v>
      </c>
      <c r="U60" s="107">
        <v>56</v>
      </c>
      <c r="V60" s="107" t="s">
        <v>3</v>
      </c>
    </row>
    <row r="61" spans="2:26" x14ac:dyDescent="0.25">
      <c r="B61" s="101" t="s">
        <v>305</v>
      </c>
      <c r="C61" s="110" t="s">
        <v>2</v>
      </c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  <c r="Q61" s="111" t="s">
        <v>147</v>
      </c>
      <c r="U61" s="107">
        <v>57</v>
      </c>
      <c r="V61" s="107" t="s">
        <v>3</v>
      </c>
    </row>
    <row r="62" spans="2:26" hidden="1" x14ac:dyDescent="0.25">
      <c r="B62" s="101" t="s">
        <v>3</v>
      </c>
      <c r="C62" s="110" t="s">
        <v>2</v>
      </c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  <c r="Q62" s="111" t="s">
        <v>147</v>
      </c>
      <c r="U62" s="107">
        <v>58</v>
      </c>
      <c r="V62" s="107" t="s">
        <v>3</v>
      </c>
    </row>
    <row r="63" spans="2:26" hidden="1" x14ac:dyDescent="0.25">
      <c r="B63" s="101" t="s">
        <v>3</v>
      </c>
      <c r="C63" s="110" t="s">
        <v>2</v>
      </c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05"/>
      <c r="Q63" s="111" t="s">
        <v>147</v>
      </c>
      <c r="U63" s="107">
        <v>59</v>
      </c>
      <c r="V63" s="107" t="s">
        <v>3</v>
      </c>
    </row>
    <row r="64" spans="2:26" hidden="1" x14ac:dyDescent="0.25">
      <c r="B64" s="101" t="s">
        <v>3</v>
      </c>
      <c r="C64" s="110" t="s">
        <v>2</v>
      </c>
      <c r="D64" s="105"/>
      <c r="E64" s="105"/>
      <c r="F64" s="105"/>
      <c r="G64" s="105"/>
      <c r="H64" s="105"/>
      <c r="I64" s="105"/>
      <c r="J64" s="105"/>
      <c r="K64" s="105"/>
      <c r="L64" s="105"/>
      <c r="M64" s="105"/>
      <c r="N64" s="105"/>
      <c r="O64" s="105"/>
      <c r="Q64" s="111" t="s">
        <v>147</v>
      </c>
      <c r="U64" s="107">
        <v>60</v>
      </c>
      <c r="V64" s="107" t="s">
        <v>3</v>
      </c>
    </row>
    <row r="65" spans="2:22" x14ac:dyDescent="0.25">
      <c r="B65" s="101" t="s">
        <v>306</v>
      </c>
      <c r="C65" s="110" t="s">
        <v>2</v>
      </c>
      <c r="D65" s="105"/>
      <c r="E65" s="105"/>
      <c r="F65" s="105"/>
      <c r="G65" s="105"/>
      <c r="H65" s="105"/>
      <c r="I65" s="105"/>
      <c r="J65" s="105"/>
      <c r="K65" s="105"/>
      <c r="L65" s="105"/>
      <c r="M65" s="105"/>
      <c r="N65" s="105"/>
      <c r="O65" s="105"/>
      <c r="Q65" s="111" t="s">
        <v>147</v>
      </c>
      <c r="U65" s="107">
        <v>61</v>
      </c>
      <c r="V65" s="107" t="s">
        <v>3</v>
      </c>
    </row>
    <row r="66" spans="2:22" hidden="1" x14ac:dyDescent="0.25">
      <c r="B66" s="101" t="s">
        <v>3</v>
      </c>
      <c r="C66" s="110" t="s">
        <v>2</v>
      </c>
      <c r="D66" s="105"/>
      <c r="E66" s="105"/>
      <c r="F66" s="105"/>
      <c r="G66" s="105"/>
      <c r="H66" s="105"/>
      <c r="I66" s="105"/>
      <c r="J66" s="105"/>
      <c r="K66" s="105"/>
      <c r="L66" s="105"/>
      <c r="M66" s="105"/>
      <c r="N66" s="105"/>
      <c r="O66" s="105"/>
      <c r="Q66" s="111" t="s">
        <v>147</v>
      </c>
      <c r="U66" s="107">
        <v>62</v>
      </c>
      <c r="V66" s="107" t="s">
        <v>3</v>
      </c>
    </row>
    <row r="67" spans="2:22" hidden="1" x14ac:dyDescent="0.25">
      <c r="B67" s="101" t="s">
        <v>3</v>
      </c>
      <c r="C67" s="110" t="s">
        <v>2</v>
      </c>
      <c r="D67" s="105"/>
      <c r="E67" s="105"/>
      <c r="F67" s="105"/>
      <c r="G67" s="105"/>
      <c r="H67" s="105"/>
      <c r="I67" s="105"/>
      <c r="J67" s="105"/>
      <c r="K67" s="105"/>
      <c r="L67" s="105"/>
      <c r="M67" s="105"/>
      <c r="N67" s="105"/>
      <c r="O67" s="105"/>
      <c r="Q67" s="111" t="s">
        <v>147</v>
      </c>
      <c r="U67" s="107">
        <v>63</v>
      </c>
      <c r="V67" s="107" t="s">
        <v>3</v>
      </c>
    </row>
    <row r="68" spans="2:22" hidden="1" x14ac:dyDescent="0.25">
      <c r="B68" s="101" t="s">
        <v>3</v>
      </c>
      <c r="C68" s="110" t="s">
        <v>2</v>
      </c>
      <c r="D68" s="105"/>
      <c r="E68" s="105"/>
      <c r="F68" s="105"/>
      <c r="G68" s="105"/>
      <c r="H68" s="105"/>
      <c r="I68" s="105"/>
      <c r="J68" s="105"/>
      <c r="K68" s="105"/>
      <c r="L68" s="105"/>
      <c r="M68" s="105"/>
      <c r="N68" s="105"/>
      <c r="O68" s="105"/>
      <c r="P68" s="107"/>
      <c r="Q68" s="111" t="s">
        <v>147</v>
      </c>
      <c r="R68" s="107"/>
      <c r="S68" s="107"/>
      <c r="T68" s="107"/>
      <c r="U68" s="107">
        <v>64</v>
      </c>
      <c r="V68" s="107" t="s">
        <v>3</v>
      </c>
    </row>
    <row r="69" spans="2:22" x14ac:dyDescent="0.25">
      <c r="B69" s="101" t="s">
        <v>292</v>
      </c>
      <c r="C69" s="110" t="s">
        <v>242</v>
      </c>
      <c r="D69" s="105" t="s">
        <v>139</v>
      </c>
      <c r="E69" s="105" t="s">
        <v>255</v>
      </c>
      <c r="F69" s="105"/>
      <c r="G69" s="105"/>
      <c r="H69" s="105"/>
      <c r="I69" s="105" t="s">
        <v>237</v>
      </c>
      <c r="J69" s="105"/>
      <c r="K69" s="105"/>
      <c r="L69" s="105"/>
      <c r="M69" s="105"/>
      <c r="N69" s="105"/>
      <c r="O69" s="105"/>
      <c r="P69" s="107" t="s">
        <v>188</v>
      </c>
      <c r="Q69" s="111" t="s">
        <v>160</v>
      </c>
      <c r="R69" s="111" t="s">
        <v>162</v>
      </c>
      <c r="S69" s="111">
        <v>9216</v>
      </c>
      <c r="T69" s="111" t="s">
        <v>161</v>
      </c>
      <c r="U69" s="107">
        <v>65</v>
      </c>
      <c r="V69" s="107" t="s">
        <v>4</v>
      </c>
    </row>
    <row r="70" spans="2:22" x14ac:dyDescent="0.25">
      <c r="B70" s="101" t="s">
        <v>293</v>
      </c>
      <c r="C70" s="110" t="s">
        <v>242</v>
      </c>
      <c r="D70" s="105" t="s">
        <v>140</v>
      </c>
      <c r="E70" s="105" t="s">
        <v>255</v>
      </c>
      <c r="F70" s="105"/>
      <c r="G70" s="105"/>
      <c r="H70" s="105"/>
      <c r="I70" s="105" t="s">
        <v>237</v>
      </c>
      <c r="J70" s="105"/>
      <c r="K70" s="105"/>
      <c r="L70" s="105"/>
      <c r="M70" s="105"/>
      <c r="N70" s="105"/>
      <c r="O70" s="105"/>
      <c r="P70" s="107" t="s">
        <v>188</v>
      </c>
      <c r="Q70" s="111" t="s">
        <v>160</v>
      </c>
      <c r="R70" s="111" t="s">
        <v>162</v>
      </c>
      <c r="S70" s="111">
        <v>9216</v>
      </c>
      <c r="T70" s="111" t="s">
        <v>161</v>
      </c>
      <c r="U70" s="107">
        <v>66</v>
      </c>
      <c r="V70" s="107" t="s">
        <v>4</v>
      </c>
    </row>
    <row r="71" spans="2:22" x14ac:dyDescent="0.25">
      <c r="B71" s="101" t="s">
        <v>294</v>
      </c>
      <c r="C71" s="110" t="s">
        <v>242</v>
      </c>
      <c r="D71" s="105" t="s">
        <v>249</v>
      </c>
      <c r="E71" s="105" t="s">
        <v>255</v>
      </c>
      <c r="F71" s="105"/>
      <c r="G71" s="105"/>
      <c r="H71" s="105"/>
      <c r="I71" s="105" t="s">
        <v>237</v>
      </c>
      <c r="J71" s="105"/>
      <c r="K71" s="105"/>
      <c r="L71" s="105"/>
      <c r="M71" s="105"/>
      <c r="N71" s="105"/>
      <c r="O71" s="105"/>
      <c r="P71" s="107" t="s">
        <v>188</v>
      </c>
      <c r="Q71" s="111" t="s">
        <v>147</v>
      </c>
      <c r="R71" s="111" t="s">
        <v>162</v>
      </c>
      <c r="S71" s="111">
        <v>9216</v>
      </c>
      <c r="T71" s="111" t="s">
        <v>161</v>
      </c>
      <c r="U71" s="107">
        <v>67</v>
      </c>
      <c r="V71" s="107" t="s">
        <v>4</v>
      </c>
    </row>
    <row r="72" spans="2:22" x14ac:dyDescent="0.25">
      <c r="B72" s="101" t="s">
        <v>295</v>
      </c>
      <c r="C72" s="110" t="s">
        <v>2</v>
      </c>
      <c r="D72" s="105"/>
      <c r="E72" s="105"/>
      <c r="F72" s="105"/>
      <c r="G72" s="105"/>
      <c r="H72" s="105"/>
      <c r="I72" s="105"/>
      <c r="J72" s="105"/>
      <c r="K72" s="105"/>
      <c r="L72" s="105"/>
      <c r="M72" s="105"/>
      <c r="N72" s="105"/>
      <c r="O72" s="105"/>
      <c r="Q72" s="111" t="s">
        <v>147</v>
      </c>
      <c r="U72" s="107">
        <v>68</v>
      </c>
      <c r="V72" s="107" t="s">
        <v>3</v>
      </c>
    </row>
    <row r="73" spans="2:22" x14ac:dyDescent="0.25">
      <c r="B73" s="101" t="s">
        <v>307</v>
      </c>
      <c r="C73" s="110" t="s">
        <v>2</v>
      </c>
      <c r="D73" s="105"/>
      <c r="E73" s="105"/>
      <c r="F73" s="105"/>
      <c r="G73" s="105"/>
      <c r="H73" s="105"/>
      <c r="I73" s="105"/>
      <c r="J73" s="105"/>
      <c r="K73" s="105"/>
      <c r="L73" s="105"/>
      <c r="M73" s="105"/>
      <c r="N73" s="105"/>
      <c r="O73" s="105"/>
      <c r="Q73" s="111" t="s">
        <v>147</v>
      </c>
      <c r="U73" s="107">
        <v>69</v>
      </c>
      <c r="V73" s="107" t="s">
        <v>3</v>
      </c>
    </row>
    <row r="74" spans="2:22" hidden="1" x14ac:dyDescent="0.25">
      <c r="B74" s="101" t="s">
        <v>3</v>
      </c>
      <c r="C74" s="110" t="s">
        <v>2</v>
      </c>
      <c r="D74" s="105"/>
      <c r="E74" s="105"/>
      <c r="F74" s="105"/>
      <c r="G74" s="105"/>
      <c r="H74" s="105"/>
      <c r="I74" s="105"/>
      <c r="J74" s="105"/>
      <c r="K74" s="105"/>
      <c r="L74" s="105"/>
      <c r="M74" s="105"/>
      <c r="N74" s="105"/>
      <c r="O74" s="105"/>
      <c r="Q74" s="111" t="s">
        <v>147</v>
      </c>
      <c r="U74" s="107">
        <v>70</v>
      </c>
      <c r="V74" s="107" t="s">
        <v>3</v>
      </c>
    </row>
    <row r="75" spans="2:22" hidden="1" x14ac:dyDescent="0.25">
      <c r="B75" s="101" t="s">
        <v>3</v>
      </c>
      <c r="C75" s="110" t="s">
        <v>2</v>
      </c>
      <c r="D75" s="105"/>
      <c r="E75" s="105"/>
      <c r="F75" s="105"/>
      <c r="G75" s="105"/>
      <c r="H75" s="105"/>
      <c r="I75" s="105"/>
      <c r="J75" s="105"/>
      <c r="K75" s="105"/>
      <c r="L75" s="105"/>
      <c r="M75" s="105"/>
      <c r="N75" s="105"/>
      <c r="O75" s="105"/>
      <c r="Q75" s="111" t="s">
        <v>147</v>
      </c>
      <c r="U75" s="107">
        <v>71</v>
      </c>
      <c r="V75" s="107" t="s">
        <v>3</v>
      </c>
    </row>
    <row r="76" spans="2:22" hidden="1" x14ac:dyDescent="0.25">
      <c r="B76" s="101" t="s">
        <v>3</v>
      </c>
      <c r="C76" s="110" t="s">
        <v>2</v>
      </c>
      <c r="D76" s="105"/>
      <c r="E76" s="105"/>
      <c r="F76" s="105"/>
      <c r="G76" s="105"/>
      <c r="H76" s="105"/>
      <c r="I76" s="105"/>
      <c r="J76" s="105"/>
      <c r="K76" s="105"/>
      <c r="L76" s="105"/>
      <c r="M76" s="105"/>
      <c r="N76" s="105"/>
      <c r="O76" s="105"/>
      <c r="Q76" s="111" t="s">
        <v>147</v>
      </c>
      <c r="U76" s="107">
        <v>72</v>
      </c>
      <c r="V76" s="107" t="s">
        <v>3</v>
      </c>
    </row>
    <row r="77" spans="2:22" x14ac:dyDescent="0.25">
      <c r="B77" s="101" t="s">
        <v>308</v>
      </c>
      <c r="C77" s="110" t="s">
        <v>2</v>
      </c>
      <c r="D77" s="105"/>
      <c r="E77" s="105"/>
      <c r="F77" s="105"/>
      <c r="G77" s="105"/>
      <c r="H77" s="105"/>
      <c r="I77" s="105"/>
      <c r="J77" s="105"/>
      <c r="K77" s="105"/>
      <c r="L77" s="105"/>
      <c r="M77" s="105"/>
      <c r="N77" s="105"/>
      <c r="O77" s="105"/>
      <c r="Q77" s="111" t="s">
        <v>147</v>
      </c>
      <c r="U77" s="107">
        <v>73</v>
      </c>
      <c r="V77" s="107" t="s">
        <v>3</v>
      </c>
    </row>
    <row r="78" spans="2:22" hidden="1" x14ac:dyDescent="0.25">
      <c r="B78" s="101" t="s">
        <v>3</v>
      </c>
      <c r="C78" s="110" t="s">
        <v>2</v>
      </c>
      <c r="D78" s="105"/>
      <c r="E78" s="105"/>
      <c r="F78" s="105"/>
      <c r="G78" s="105"/>
      <c r="H78" s="105"/>
      <c r="I78" s="105"/>
      <c r="J78" s="105"/>
      <c r="K78" s="105"/>
      <c r="L78" s="105"/>
      <c r="M78" s="105"/>
      <c r="N78" s="105"/>
      <c r="O78" s="105"/>
      <c r="Q78" s="111" t="s">
        <v>147</v>
      </c>
      <c r="U78" s="107">
        <v>74</v>
      </c>
      <c r="V78" s="107" t="s">
        <v>3</v>
      </c>
    </row>
    <row r="79" spans="2:22" hidden="1" x14ac:dyDescent="0.25">
      <c r="B79" s="101" t="s">
        <v>3</v>
      </c>
      <c r="C79" s="110" t="s">
        <v>2</v>
      </c>
      <c r="D79" s="105"/>
      <c r="E79" s="105"/>
      <c r="F79" s="105"/>
      <c r="G79" s="105"/>
      <c r="H79" s="105"/>
      <c r="I79" s="105"/>
      <c r="J79" s="105"/>
      <c r="K79" s="105"/>
      <c r="L79" s="105"/>
      <c r="M79" s="105"/>
      <c r="N79" s="105"/>
      <c r="O79" s="105"/>
      <c r="Q79" s="111" t="s">
        <v>147</v>
      </c>
      <c r="U79" s="107">
        <v>75</v>
      </c>
      <c r="V79" s="107" t="s">
        <v>3</v>
      </c>
    </row>
    <row r="80" spans="2:22" hidden="1" x14ac:dyDescent="0.25">
      <c r="B80" s="101" t="s">
        <v>3</v>
      </c>
      <c r="C80" s="110" t="s">
        <v>2</v>
      </c>
      <c r="D80" s="105"/>
      <c r="E80" s="105"/>
      <c r="F80" s="105"/>
      <c r="G80" s="105"/>
      <c r="H80" s="105"/>
      <c r="I80" s="105"/>
      <c r="J80" s="105"/>
      <c r="K80" s="105"/>
      <c r="L80" s="105"/>
      <c r="M80" s="105"/>
      <c r="N80" s="105"/>
      <c r="O80" s="105"/>
      <c r="Q80" s="111" t="s">
        <v>147</v>
      </c>
      <c r="U80" s="107">
        <v>76</v>
      </c>
      <c r="V80" s="107" t="s">
        <v>3</v>
      </c>
    </row>
    <row r="81" spans="2:22" x14ac:dyDescent="0.25">
      <c r="B81" s="101" t="s">
        <v>309</v>
      </c>
      <c r="C81" s="110" t="s">
        <v>2</v>
      </c>
      <c r="D81" s="105"/>
      <c r="E81" s="105"/>
      <c r="F81" s="105"/>
      <c r="G81" s="105"/>
      <c r="H81" s="105"/>
      <c r="I81" s="105"/>
      <c r="J81" s="105"/>
      <c r="K81" s="105"/>
      <c r="L81" s="105"/>
      <c r="M81" s="105"/>
      <c r="N81" s="105"/>
      <c r="O81" s="105"/>
      <c r="Q81" s="111" t="s">
        <v>147</v>
      </c>
      <c r="U81" s="107">
        <v>77</v>
      </c>
      <c r="V81" s="107" t="s">
        <v>3</v>
      </c>
    </row>
    <row r="82" spans="2:22" hidden="1" x14ac:dyDescent="0.25">
      <c r="B82" s="101" t="s">
        <v>3</v>
      </c>
      <c r="C82" s="110" t="s">
        <v>2</v>
      </c>
      <c r="D82" s="105"/>
      <c r="E82" s="105"/>
      <c r="F82" s="105"/>
      <c r="G82" s="105"/>
      <c r="H82" s="105"/>
      <c r="I82" s="105"/>
      <c r="J82" s="105"/>
      <c r="K82" s="105"/>
      <c r="L82" s="105"/>
      <c r="M82" s="105"/>
      <c r="N82" s="105"/>
      <c r="O82" s="105"/>
      <c r="Q82" s="111" t="s">
        <v>147</v>
      </c>
      <c r="U82" s="107">
        <v>78</v>
      </c>
      <c r="V82" s="107" t="s">
        <v>3</v>
      </c>
    </row>
    <row r="83" spans="2:22" hidden="1" x14ac:dyDescent="0.25">
      <c r="B83" s="101" t="s">
        <v>3</v>
      </c>
      <c r="C83" s="110" t="s">
        <v>2</v>
      </c>
      <c r="D83" s="105"/>
      <c r="E83" s="105"/>
      <c r="F83" s="105"/>
      <c r="G83" s="105"/>
      <c r="H83" s="105"/>
      <c r="I83" s="105"/>
      <c r="J83" s="105"/>
      <c r="K83" s="105"/>
      <c r="L83" s="105"/>
      <c r="M83" s="105"/>
      <c r="N83" s="105"/>
      <c r="O83" s="105"/>
      <c r="Q83" s="111" t="s">
        <v>147</v>
      </c>
      <c r="U83" s="107">
        <v>79</v>
      </c>
      <c r="V83" s="107" t="s">
        <v>3</v>
      </c>
    </row>
    <row r="84" spans="2:22" hidden="1" x14ac:dyDescent="0.25">
      <c r="B84" s="101" t="s">
        <v>3</v>
      </c>
      <c r="C84" s="110" t="s">
        <v>2</v>
      </c>
      <c r="D84" s="105"/>
      <c r="E84" s="105"/>
      <c r="F84" s="105"/>
      <c r="G84" s="105"/>
      <c r="H84" s="105"/>
      <c r="I84" s="105"/>
      <c r="J84" s="105"/>
      <c r="K84" s="105"/>
      <c r="L84" s="105"/>
      <c r="M84" s="105"/>
      <c r="N84" s="105"/>
      <c r="O84" s="105"/>
      <c r="Q84" s="111" t="s">
        <v>147</v>
      </c>
      <c r="U84" s="107">
        <v>80</v>
      </c>
      <c r="V84" s="107" t="s">
        <v>3</v>
      </c>
    </row>
    <row r="85" spans="2:22" x14ac:dyDescent="0.25">
      <c r="B85" s="101" t="s">
        <v>310</v>
      </c>
      <c r="C85" s="110" t="s">
        <v>2</v>
      </c>
      <c r="D85" s="105"/>
      <c r="E85" s="105"/>
      <c r="F85" s="105"/>
      <c r="G85" s="105"/>
      <c r="H85" s="105"/>
      <c r="I85" s="105"/>
      <c r="J85" s="105"/>
      <c r="K85" s="105"/>
      <c r="L85" s="105"/>
      <c r="M85" s="105"/>
      <c r="N85" s="105"/>
      <c r="O85" s="105"/>
      <c r="Q85" s="111" t="s">
        <v>147</v>
      </c>
      <c r="U85" s="107">
        <v>81</v>
      </c>
      <c r="V85" s="107" t="s">
        <v>3</v>
      </c>
    </row>
    <row r="86" spans="2:22" hidden="1" x14ac:dyDescent="0.25">
      <c r="B86" s="101" t="s">
        <v>3</v>
      </c>
      <c r="C86" s="110" t="s">
        <v>2</v>
      </c>
      <c r="D86" s="105"/>
      <c r="E86" s="105"/>
      <c r="F86" s="105"/>
      <c r="G86" s="105"/>
      <c r="H86" s="105"/>
      <c r="I86" s="105"/>
      <c r="J86" s="105"/>
      <c r="K86" s="105"/>
      <c r="L86" s="105"/>
      <c r="M86" s="105"/>
      <c r="N86" s="105"/>
      <c r="O86" s="105"/>
      <c r="Q86" s="111" t="s">
        <v>147</v>
      </c>
      <c r="U86" s="107">
        <v>82</v>
      </c>
      <c r="V86" s="107" t="s">
        <v>3</v>
      </c>
    </row>
    <row r="87" spans="2:22" hidden="1" x14ac:dyDescent="0.25">
      <c r="B87" s="101" t="s">
        <v>3</v>
      </c>
      <c r="C87" s="110" t="s">
        <v>2</v>
      </c>
      <c r="D87" s="105"/>
      <c r="E87" s="105"/>
      <c r="F87" s="105"/>
      <c r="G87" s="105"/>
      <c r="H87" s="105"/>
      <c r="I87" s="105"/>
      <c r="J87" s="105"/>
      <c r="K87" s="105"/>
      <c r="L87" s="105"/>
      <c r="M87" s="105"/>
      <c r="N87" s="105"/>
      <c r="O87" s="105"/>
      <c r="Q87" s="111" t="s">
        <v>147</v>
      </c>
      <c r="U87" s="107">
        <v>83</v>
      </c>
      <c r="V87" s="107" t="s">
        <v>3</v>
      </c>
    </row>
    <row r="88" spans="2:22" hidden="1" x14ac:dyDescent="0.25">
      <c r="B88" s="101" t="s">
        <v>3</v>
      </c>
      <c r="C88" s="110" t="s">
        <v>2</v>
      </c>
      <c r="D88" s="105"/>
      <c r="E88" s="105"/>
      <c r="F88" s="105"/>
      <c r="G88" s="105"/>
      <c r="H88" s="105"/>
      <c r="I88" s="105"/>
      <c r="J88" s="105"/>
      <c r="K88" s="105"/>
      <c r="L88" s="105"/>
      <c r="M88" s="105"/>
      <c r="N88" s="105"/>
      <c r="O88" s="105"/>
      <c r="Q88" s="111" t="s">
        <v>147</v>
      </c>
      <c r="U88" s="107">
        <v>84</v>
      </c>
      <c r="V88" s="107" t="s">
        <v>3</v>
      </c>
    </row>
    <row r="89" spans="2:22" x14ac:dyDescent="0.25">
      <c r="B89" s="101" t="s">
        <v>311</v>
      </c>
      <c r="C89" s="110" t="s">
        <v>2</v>
      </c>
      <c r="D89" s="105"/>
      <c r="E89" s="105"/>
      <c r="F89" s="105"/>
      <c r="G89" s="105"/>
      <c r="H89" s="105"/>
      <c r="I89" s="105"/>
      <c r="J89" s="105"/>
      <c r="K89" s="105"/>
      <c r="L89" s="105"/>
      <c r="M89" s="105"/>
      <c r="N89" s="105"/>
      <c r="O89" s="105"/>
      <c r="Q89" s="111" t="s">
        <v>147</v>
      </c>
      <c r="U89" s="107">
        <v>85</v>
      </c>
      <c r="V89" s="107" t="s">
        <v>3</v>
      </c>
    </row>
    <row r="90" spans="2:22" hidden="1" x14ac:dyDescent="0.25">
      <c r="B90" s="101" t="s">
        <v>3</v>
      </c>
      <c r="C90" s="110" t="s">
        <v>2</v>
      </c>
      <c r="D90" s="105"/>
      <c r="E90" s="105"/>
      <c r="F90" s="105"/>
      <c r="G90" s="105"/>
      <c r="H90" s="105"/>
      <c r="I90" s="105"/>
      <c r="J90" s="105"/>
      <c r="K90" s="105"/>
      <c r="L90" s="105"/>
      <c r="M90" s="105"/>
      <c r="N90" s="105"/>
      <c r="O90" s="105"/>
      <c r="Q90" s="111" t="s">
        <v>147</v>
      </c>
      <c r="U90" s="107">
        <v>86</v>
      </c>
      <c r="V90" s="107" t="s">
        <v>3</v>
      </c>
    </row>
    <row r="91" spans="2:22" hidden="1" x14ac:dyDescent="0.25">
      <c r="B91" s="101" t="s">
        <v>3</v>
      </c>
      <c r="C91" s="110" t="s">
        <v>2</v>
      </c>
      <c r="D91" s="105"/>
      <c r="E91" s="105"/>
      <c r="F91" s="105"/>
      <c r="G91" s="105"/>
      <c r="H91" s="105"/>
      <c r="I91" s="105"/>
      <c r="J91" s="105"/>
      <c r="K91" s="105"/>
      <c r="L91" s="105"/>
      <c r="M91" s="105"/>
      <c r="N91" s="105"/>
      <c r="O91" s="105"/>
      <c r="Q91" s="111" t="s">
        <v>147</v>
      </c>
      <c r="U91" s="107">
        <v>87</v>
      </c>
      <c r="V91" s="107" t="s">
        <v>3</v>
      </c>
    </row>
    <row r="92" spans="2:22" hidden="1" x14ac:dyDescent="0.25">
      <c r="B92" s="101" t="s">
        <v>3</v>
      </c>
      <c r="C92" s="110" t="s">
        <v>2</v>
      </c>
      <c r="D92" s="105"/>
      <c r="E92" s="105"/>
      <c r="F92" s="105"/>
      <c r="G92" s="105"/>
      <c r="H92" s="105"/>
      <c r="I92" s="105"/>
      <c r="J92" s="105"/>
      <c r="K92" s="105"/>
      <c r="L92" s="105"/>
      <c r="M92" s="105"/>
      <c r="N92" s="105"/>
      <c r="O92" s="105"/>
      <c r="Q92" s="111" t="s">
        <v>147</v>
      </c>
      <c r="U92" s="107">
        <v>88</v>
      </c>
      <c r="V92" s="107" t="s">
        <v>3</v>
      </c>
    </row>
    <row r="93" spans="2:22" x14ac:dyDescent="0.25">
      <c r="B93" s="101" t="s">
        <v>312</v>
      </c>
      <c r="C93" s="110" t="s">
        <v>2</v>
      </c>
      <c r="D93" s="105"/>
      <c r="E93" s="105"/>
      <c r="F93" s="105"/>
      <c r="G93" s="105"/>
      <c r="H93" s="105"/>
      <c r="I93" s="105"/>
      <c r="J93" s="105"/>
      <c r="K93" s="105"/>
      <c r="L93" s="105"/>
      <c r="M93" s="105"/>
      <c r="N93" s="105"/>
      <c r="O93" s="105"/>
      <c r="Q93" s="111" t="s">
        <v>147</v>
      </c>
      <c r="U93" s="107">
        <v>89</v>
      </c>
      <c r="V93" s="107" t="s">
        <v>3</v>
      </c>
    </row>
    <row r="94" spans="2:22" hidden="1" x14ac:dyDescent="0.25">
      <c r="B94" s="101" t="s">
        <v>3</v>
      </c>
      <c r="C94" s="110" t="s">
        <v>2</v>
      </c>
      <c r="D94" s="105"/>
      <c r="E94" s="105"/>
      <c r="F94" s="105"/>
      <c r="G94" s="105"/>
      <c r="H94" s="105"/>
      <c r="I94" s="105"/>
      <c r="J94" s="105"/>
      <c r="K94" s="105"/>
      <c r="L94" s="105"/>
      <c r="M94" s="105"/>
      <c r="N94" s="105"/>
      <c r="O94" s="105"/>
      <c r="Q94" s="111" t="s">
        <v>147</v>
      </c>
      <c r="U94" s="107">
        <v>90</v>
      </c>
      <c r="V94" s="107" t="s">
        <v>3</v>
      </c>
    </row>
    <row r="95" spans="2:22" hidden="1" x14ac:dyDescent="0.25">
      <c r="B95" s="101" t="s">
        <v>3</v>
      </c>
      <c r="C95" s="110" t="s">
        <v>2</v>
      </c>
      <c r="D95" s="105"/>
      <c r="E95" s="105"/>
      <c r="F95" s="105"/>
      <c r="G95" s="105"/>
      <c r="H95" s="105"/>
      <c r="I95" s="105"/>
      <c r="J95" s="105"/>
      <c r="K95" s="105"/>
      <c r="L95" s="105"/>
      <c r="M95" s="105"/>
      <c r="N95" s="105"/>
      <c r="O95" s="105"/>
      <c r="Q95" s="111" t="s">
        <v>147</v>
      </c>
      <c r="U95" s="107">
        <v>91</v>
      </c>
      <c r="V95" s="107" t="s">
        <v>3</v>
      </c>
    </row>
    <row r="96" spans="2:22" hidden="1" x14ac:dyDescent="0.25">
      <c r="B96" s="101" t="s">
        <v>3</v>
      </c>
      <c r="C96" s="110" t="s">
        <v>2</v>
      </c>
      <c r="D96" s="105"/>
      <c r="E96" s="105"/>
      <c r="F96" s="105"/>
      <c r="G96" s="105"/>
      <c r="H96" s="105"/>
      <c r="I96" s="105"/>
      <c r="J96" s="105"/>
      <c r="K96" s="105"/>
      <c r="L96" s="105"/>
      <c r="M96" s="105"/>
      <c r="N96" s="105"/>
      <c r="O96" s="105"/>
      <c r="Q96" s="111" t="s">
        <v>147</v>
      </c>
      <c r="U96" s="107">
        <v>92</v>
      </c>
      <c r="V96" s="107" t="s">
        <v>3</v>
      </c>
    </row>
    <row r="97" spans="2:22" x14ac:dyDescent="0.25">
      <c r="B97" s="101" t="s">
        <v>313</v>
      </c>
      <c r="C97" s="110" t="s">
        <v>2</v>
      </c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  <c r="O97" s="105"/>
      <c r="Q97" s="111" t="s">
        <v>147</v>
      </c>
      <c r="U97" s="107">
        <v>93</v>
      </c>
      <c r="V97" s="107" t="s">
        <v>3</v>
      </c>
    </row>
    <row r="98" spans="2:22" hidden="1" x14ac:dyDescent="0.25">
      <c r="B98" s="101" t="s">
        <v>3</v>
      </c>
      <c r="C98" s="110" t="s">
        <v>2</v>
      </c>
      <c r="D98" s="105"/>
      <c r="E98" s="105"/>
      <c r="F98" s="105"/>
      <c r="G98" s="105"/>
      <c r="H98" s="105"/>
      <c r="I98" s="105"/>
      <c r="J98" s="105"/>
      <c r="K98" s="105"/>
      <c r="L98" s="105"/>
      <c r="M98" s="105"/>
      <c r="N98" s="105"/>
      <c r="O98" s="105"/>
      <c r="Q98" s="111" t="s">
        <v>147</v>
      </c>
      <c r="U98" s="107">
        <v>94</v>
      </c>
      <c r="V98" s="107" t="s">
        <v>3</v>
      </c>
    </row>
    <row r="99" spans="2:22" hidden="1" x14ac:dyDescent="0.25">
      <c r="B99" s="101" t="s">
        <v>3</v>
      </c>
      <c r="C99" s="110" t="s">
        <v>2</v>
      </c>
      <c r="D99" s="105"/>
      <c r="E99" s="105"/>
      <c r="F99" s="105"/>
      <c r="G99" s="105"/>
      <c r="H99" s="105"/>
      <c r="I99" s="105"/>
      <c r="J99" s="105"/>
      <c r="K99" s="105"/>
      <c r="L99" s="105"/>
      <c r="M99" s="105"/>
      <c r="N99" s="105"/>
      <c r="O99" s="105"/>
      <c r="Q99" s="111" t="s">
        <v>147</v>
      </c>
      <c r="U99" s="107">
        <v>95</v>
      </c>
      <c r="V99" s="107" t="s">
        <v>3</v>
      </c>
    </row>
    <row r="100" spans="2:22" hidden="1" x14ac:dyDescent="0.25">
      <c r="B100" s="101" t="s">
        <v>3</v>
      </c>
      <c r="C100" s="110" t="s">
        <v>2</v>
      </c>
      <c r="D100" s="105"/>
      <c r="E100" s="105"/>
      <c r="F100" s="105"/>
      <c r="G100" s="105"/>
      <c r="H100" s="105"/>
      <c r="I100" s="105"/>
      <c r="J100" s="105"/>
      <c r="K100" s="105"/>
      <c r="L100" s="105"/>
      <c r="M100" s="105"/>
      <c r="N100" s="105"/>
      <c r="O100" s="105"/>
      <c r="Q100" s="111" t="s">
        <v>147</v>
      </c>
      <c r="U100" s="107">
        <v>96</v>
      </c>
      <c r="V100" s="107" t="s">
        <v>3</v>
      </c>
    </row>
    <row r="101" spans="2:22" x14ac:dyDescent="0.25">
      <c r="B101" s="101" t="s">
        <v>314</v>
      </c>
      <c r="C101" s="110" t="s">
        <v>2</v>
      </c>
      <c r="D101" s="105"/>
      <c r="E101" s="105"/>
      <c r="F101" s="105"/>
      <c r="G101" s="105"/>
      <c r="H101" s="105"/>
      <c r="I101" s="105"/>
      <c r="J101" s="105"/>
      <c r="K101" s="105"/>
      <c r="L101" s="105"/>
      <c r="M101" s="105"/>
      <c r="N101" s="105"/>
      <c r="O101" s="105"/>
      <c r="Q101" s="111" t="s">
        <v>147</v>
      </c>
      <c r="U101" s="107">
        <v>97</v>
      </c>
      <c r="V101" s="107" t="s">
        <v>3</v>
      </c>
    </row>
    <row r="102" spans="2:22" hidden="1" x14ac:dyDescent="0.25">
      <c r="B102" s="101" t="s">
        <v>3</v>
      </c>
      <c r="C102" s="110" t="s">
        <v>2</v>
      </c>
      <c r="D102" s="105"/>
      <c r="E102" s="105"/>
      <c r="F102" s="105"/>
      <c r="G102" s="105"/>
      <c r="H102" s="105"/>
      <c r="I102" s="105"/>
      <c r="J102" s="105"/>
      <c r="K102" s="105"/>
      <c r="L102" s="105"/>
      <c r="M102" s="105"/>
      <c r="N102" s="105"/>
      <c r="O102" s="105"/>
      <c r="Q102" s="111" t="s">
        <v>147</v>
      </c>
      <c r="U102" s="107">
        <v>98</v>
      </c>
      <c r="V102" s="107" t="s">
        <v>3</v>
      </c>
    </row>
    <row r="103" spans="2:22" hidden="1" x14ac:dyDescent="0.25">
      <c r="B103" s="101" t="s">
        <v>3</v>
      </c>
      <c r="C103" s="110" t="s">
        <v>2</v>
      </c>
      <c r="D103" s="105"/>
      <c r="E103" s="105"/>
      <c r="F103" s="105"/>
      <c r="G103" s="105"/>
      <c r="H103" s="105"/>
      <c r="I103" s="105"/>
      <c r="J103" s="105"/>
      <c r="K103" s="105"/>
      <c r="L103" s="105"/>
      <c r="M103" s="105"/>
      <c r="N103" s="105"/>
      <c r="O103" s="105"/>
      <c r="Q103" s="111" t="s">
        <v>147</v>
      </c>
      <c r="U103" s="107">
        <v>99</v>
      </c>
      <c r="V103" s="107" t="s">
        <v>3</v>
      </c>
    </row>
    <row r="104" spans="2:22" hidden="1" x14ac:dyDescent="0.25">
      <c r="B104" s="101" t="s">
        <v>3</v>
      </c>
      <c r="C104" s="110" t="s">
        <v>2</v>
      </c>
      <c r="D104" s="105"/>
      <c r="E104" s="105"/>
      <c r="F104" s="105"/>
      <c r="G104" s="105"/>
      <c r="H104" s="105"/>
      <c r="I104" s="105"/>
      <c r="J104" s="105"/>
      <c r="K104" s="105"/>
      <c r="L104" s="105"/>
      <c r="M104" s="105"/>
      <c r="N104" s="105"/>
      <c r="O104" s="105"/>
      <c r="Q104" s="111" t="s">
        <v>147</v>
      </c>
      <c r="U104" s="107">
        <v>100</v>
      </c>
      <c r="V104" s="107" t="s">
        <v>3</v>
      </c>
    </row>
    <row r="105" spans="2:22" x14ac:dyDescent="0.25">
      <c r="B105" s="101" t="s">
        <v>315</v>
      </c>
      <c r="C105" s="110" t="s">
        <v>2</v>
      </c>
      <c r="D105" s="105"/>
      <c r="E105" s="105"/>
      <c r="F105" s="105"/>
      <c r="G105" s="105"/>
      <c r="H105" s="105"/>
      <c r="I105" s="105"/>
      <c r="J105" s="105"/>
      <c r="K105" s="105"/>
      <c r="L105" s="105"/>
      <c r="M105" s="105"/>
      <c r="N105" s="105"/>
      <c r="O105" s="105"/>
      <c r="Q105" s="111" t="s">
        <v>147</v>
      </c>
      <c r="U105" s="107">
        <v>101</v>
      </c>
      <c r="V105" s="107" t="s">
        <v>3</v>
      </c>
    </row>
    <row r="106" spans="2:22" hidden="1" x14ac:dyDescent="0.25">
      <c r="B106" s="101" t="s">
        <v>3</v>
      </c>
      <c r="C106" s="110" t="s">
        <v>2</v>
      </c>
      <c r="D106" s="105"/>
      <c r="E106" s="105"/>
      <c r="F106" s="105"/>
      <c r="G106" s="105"/>
      <c r="H106" s="105"/>
      <c r="I106" s="105"/>
      <c r="J106" s="105"/>
      <c r="K106" s="105"/>
      <c r="L106" s="105"/>
      <c r="M106" s="105"/>
      <c r="N106" s="105"/>
      <c r="O106" s="105"/>
      <c r="Q106" s="111" t="s">
        <v>147</v>
      </c>
      <c r="U106" s="107">
        <v>102</v>
      </c>
      <c r="V106" s="107" t="s">
        <v>3</v>
      </c>
    </row>
    <row r="107" spans="2:22" hidden="1" x14ac:dyDescent="0.25">
      <c r="B107" s="101" t="s">
        <v>3</v>
      </c>
      <c r="C107" s="110" t="s">
        <v>2</v>
      </c>
      <c r="D107" s="105"/>
      <c r="E107" s="105"/>
      <c r="F107" s="105"/>
      <c r="G107" s="105"/>
      <c r="H107" s="105"/>
      <c r="I107" s="105"/>
      <c r="J107" s="105"/>
      <c r="K107" s="105"/>
      <c r="L107" s="105"/>
      <c r="M107" s="105"/>
      <c r="N107" s="105"/>
      <c r="O107" s="105"/>
      <c r="Q107" s="111" t="s">
        <v>147</v>
      </c>
      <c r="U107" s="107">
        <v>103</v>
      </c>
      <c r="V107" s="107" t="s">
        <v>3</v>
      </c>
    </row>
    <row r="108" spans="2:22" hidden="1" x14ac:dyDescent="0.25">
      <c r="B108" s="101" t="s">
        <v>3</v>
      </c>
      <c r="C108" s="110" t="s">
        <v>2</v>
      </c>
      <c r="D108" s="105"/>
      <c r="E108" s="105"/>
      <c r="F108" s="105"/>
      <c r="G108" s="105"/>
      <c r="H108" s="105"/>
      <c r="I108" s="105"/>
      <c r="J108" s="105"/>
      <c r="K108" s="105"/>
      <c r="L108" s="105"/>
      <c r="M108" s="105"/>
      <c r="N108" s="105"/>
      <c r="O108" s="105"/>
      <c r="Q108" s="111" t="s">
        <v>147</v>
      </c>
      <c r="U108" s="107">
        <v>104</v>
      </c>
      <c r="V108" s="107" t="s">
        <v>3</v>
      </c>
    </row>
    <row r="109" spans="2:22" x14ac:dyDescent="0.25">
      <c r="B109" s="101" t="s">
        <v>316</v>
      </c>
      <c r="C109" s="110" t="s">
        <v>2</v>
      </c>
      <c r="D109" s="105"/>
      <c r="E109" s="105"/>
      <c r="F109" s="105"/>
      <c r="G109" s="105"/>
      <c r="H109" s="105"/>
      <c r="I109" s="105"/>
      <c r="J109" s="105"/>
      <c r="K109" s="105"/>
      <c r="L109" s="105"/>
      <c r="M109" s="105"/>
      <c r="N109" s="105"/>
      <c r="O109" s="105"/>
      <c r="Q109" s="111" t="s">
        <v>147</v>
      </c>
      <c r="U109" s="107">
        <v>105</v>
      </c>
      <c r="V109" s="107" t="s">
        <v>3</v>
      </c>
    </row>
    <row r="110" spans="2:22" hidden="1" x14ac:dyDescent="0.25">
      <c r="B110" s="101" t="s">
        <v>3</v>
      </c>
      <c r="C110" s="110" t="s">
        <v>2</v>
      </c>
      <c r="D110" s="105"/>
      <c r="E110" s="105"/>
      <c r="F110" s="105"/>
      <c r="G110" s="105"/>
      <c r="H110" s="105"/>
      <c r="I110" s="105"/>
      <c r="J110" s="105"/>
      <c r="K110" s="105"/>
      <c r="L110" s="105"/>
      <c r="M110" s="105"/>
      <c r="N110" s="105"/>
      <c r="O110" s="105"/>
      <c r="Q110" s="111" t="s">
        <v>147</v>
      </c>
      <c r="U110" s="107">
        <v>106</v>
      </c>
      <c r="V110" s="107" t="s">
        <v>3</v>
      </c>
    </row>
    <row r="111" spans="2:22" hidden="1" x14ac:dyDescent="0.25">
      <c r="B111" s="101" t="s">
        <v>3</v>
      </c>
      <c r="C111" s="110" t="s">
        <v>2</v>
      </c>
      <c r="D111" s="105"/>
      <c r="E111" s="105"/>
      <c r="F111" s="105"/>
      <c r="G111" s="105"/>
      <c r="H111" s="105"/>
      <c r="I111" s="105"/>
      <c r="J111" s="105"/>
      <c r="K111" s="105"/>
      <c r="L111" s="105"/>
      <c r="M111" s="105"/>
      <c r="N111" s="105"/>
      <c r="O111" s="105"/>
      <c r="Q111" s="111" t="s">
        <v>147</v>
      </c>
      <c r="U111" s="107">
        <v>107</v>
      </c>
      <c r="V111" s="107" t="s">
        <v>3</v>
      </c>
    </row>
    <row r="112" spans="2:22" hidden="1" x14ac:dyDescent="0.25">
      <c r="B112" s="101" t="s">
        <v>3</v>
      </c>
      <c r="C112" s="110" t="s">
        <v>2</v>
      </c>
      <c r="D112" s="105"/>
      <c r="E112" s="105"/>
      <c r="F112" s="105"/>
      <c r="G112" s="105"/>
      <c r="H112" s="105"/>
      <c r="I112" s="105"/>
      <c r="J112" s="105"/>
      <c r="K112" s="105"/>
      <c r="L112" s="105"/>
      <c r="M112" s="105"/>
      <c r="N112" s="105"/>
      <c r="O112" s="105"/>
      <c r="Q112" s="111" t="s">
        <v>147</v>
      </c>
      <c r="U112" s="107">
        <v>108</v>
      </c>
      <c r="V112" s="107" t="s">
        <v>3</v>
      </c>
    </row>
    <row r="113" spans="2:22" x14ac:dyDescent="0.25">
      <c r="B113" s="101" t="s">
        <v>317</v>
      </c>
      <c r="C113" s="110" t="s">
        <v>2</v>
      </c>
      <c r="D113" s="105"/>
      <c r="E113" s="105"/>
      <c r="F113" s="105"/>
      <c r="G113" s="105"/>
      <c r="H113" s="105"/>
      <c r="I113" s="105"/>
      <c r="J113" s="105"/>
      <c r="K113" s="105"/>
      <c r="L113" s="105"/>
      <c r="M113" s="105"/>
      <c r="N113" s="105"/>
      <c r="O113" s="105"/>
      <c r="Q113" s="111" t="s">
        <v>147</v>
      </c>
      <c r="U113" s="107">
        <v>109</v>
      </c>
      <c r="V113" s="107" t="s">
        <v>3</v>
      </c>
    </row>
    <row r="114" spans="2:22" hidden="1" x14ac:dyDescent="0.25">
      <c r="B114" s="101" t="s">
        <v>3</v>
      </c>
      <c r="C114" s="110" t="s">
        <v>2</v>
      </c>
      <c r="D114" s="105"/>
      <c r="E114" s="105"/>
      <c r="F114" s="105"/>
      <c r="G114" s="105"/>
      <c r="H114" s="105"/>
      <c r="I114" s="105"/>
      <c r="J114" s="105"/>
      <c r="K114" s="105"/>
      <c r="L114" s="105"/>
      <c r="M114" s="105"/>
      <c r="N114" s="105"/>
      <c r="O114" s="105"/>
      <c r="Q114" s="111" t="s">
        <v>147</v>
      </c>
      <c r="U114" s="107">
        <v>110</v>
      </c>
      <c r="V114" s="107" t="s">
        <v>3</v>
      </c>
    </row>
    <row r="115" spans="2:22" hidden="1" x14ac:dyDescent="0.25">
      <c r="B115" s="101" t="s">
        <v>3</v>
      </c>
      <c r="C115" s="110" t="s">
        <v>2</v>
      </c>
      <c r="D115" s="105"/>
      <c r="E115" s="105"/>
      <c r="F115" s="105"/>
      <c r="G115" s="105"/>
      <c r="H115" s="105"/>
      <c r="I115" s="105"/>
      <c r="J115" s="105"/>
      <c r="K115" s="105"/>
      <c r="L115" s="105"/>
      <c r="M115" s="105"/>
      <c r="N115" s="105"/>
      <c r="O115" s="105"/>
      <c r="Q115" s="111" t="s">
        <v>147</v>
      </c>
      <c r="U115" s="107">
        <v>111</v>
      </c>
      <c r="V115" s="107" t="s">
        <v>3</v>
      </c>
    </row>
    <row r="116" spans="2:22" hidden="1" x14ac:dyDescent="0.25">
      <c r="B116" s="101" t="s">
        <v>3</v>
      </c>
      <c r="C116" s="110" t="s">
        <v>2</v>
      </c>
      <c r="D116" s="105"/>
      <c r="E116" s="105"/>
      <c r="F116" s="105"/>
      <c r="G116" s="105"/>
      <c r="H116" s="105"/>
      <c r="I116" s="105"/>
      <c r="J116" s="105"/>
      <c r="K116" s="105"/>
      <c r="L116" s="105"/>
      <c r="M116" s="105"/>
      <c r="N116" s="105"/>
      <c r="O116" s="105"/>
      <c r="Q116" s="111" t="s">
        <v>147</v>
      </c>
      <c r="U116" s="107">
        <v>112</v>
      </c>
      <c r="V116" s="107" t="s">
        <v>3</v>
      </c>
    </row>
    <row r="117" spans="2:22" x14ac:dyDescent="0.25">
      <c r="B117" s="101" t="s">
        <v>318</v>
      </c>
      <c r="C117" s="110"/>
      <c r="D117" s="105" t="s">
        <v>258</v>
      </c>
      <c r="E117" s="105"/>
      <c r="F117" s="105"/>
      <c r="G117" s="105"/>
      <c r="H117" s="105"/>
      <c r="I117" s="105"/>
      <c r="J117" s="105"/>
      <c r="K117" s="105" t="s">
        <v>237</v>
      </c>
      <c r="L117" s="105" t="s">
        <v>237</v>
      </c>
      <c r="M117" s="105"/>
      <c r="N117" s="105"/>
      <c r="O117" s="105"/>
      <c r="Q117" s="111" t="s">
        <v>147</v>
      </c>
      <c r="U117" s="107">
        <v>113</v>
      </c>
      <c r="V117" s="107" t="s">
        <v>4</v>
      </c>
    </row>
    <row r="118" spans="2:22" hidden="1" x14ac:dyDescent="0.25">
      <c r="B118" s="101" t="s">
        <v>3</v>
      </c>
      <c r="C118" s="110" t="s">
        <v>2</v>
      </c>
      <c r="D118" s="105"/>
      <c r="E118" s="105"/>
      <c r="F118" s="105"/>
      <c r="G118" s="105"/>
      <c r="H118" s="105"/>
      <c r="I118" s="105"/>
      <c r="J118" s="105"/>
      <c r="K118" s="105"/>
      <c r="L118" s="105"/>
      <c r="M118" s="105"/>
      <c r="N118" s="105"/>
      <c r="O118" s="105"/>
      <c r="Q118" s="111" t="s">
        <v>147</v>
      </c>
      <c r="U118" s="107"/>
      <c r="V118" s="107" t="s">
        <v>3</v>
      </c>
    </row>
    <row r="119" spans="2:22" hidden="1" x14ac:dyDescent="0.25">
      <c r="B119" s="101" t="s">
        <v>3</v>
      </c>
      <c r="C119" s="110" t="s">
        <v>2</v>
      </c>
      <c r="D119" s="105"/>
      <c r="E119" s="105"/>
      <c r="F119" s="105"/>
      <c r="G119" s="105"/>
      <c r="H119" s="105"/>
      <c r="I119" s="105"/>
      <c r="J119" s="105"/>
      <c r="K119" s="105"/>
      <c r="L119" s="105"/>
      <c r="M119" s="105"/>
      <c r="N119" s="105"/>
      <c r="O119" s="105"/>
      <c r="Q119" s="111" t="s">
        <v>147</v>
      </c>
      <c r="U119" s="107"/>
      <c r="V119" s="107" t="s">
        <v>3</v>
      </c>
    </row>
    <row r="120" spans="2:22" hidden="1" x14ac:dyDescent="0.25">
      <c r="B120" s="101" t="s">
        <v>3</v>
      </c>
      <c r="C120" s="110" t="s">
        <v>2</v>
      </c>
      <c r="D120" s="105"/>
      <c r="E120" s="105"/>
      <c r="F120" s="105"/>
      <c r="G120" s="105"/>
      <c r="H120" s="105"/>
      <c r="I120" s="105"/>
      <c r="J120" s="105"/>
      <c r="K120" s="105"/>
      <c r="L120" s="105"/>
      <c r="M120" s="105"/>
      <c r="N120" s="105"/>
      <c r="O120" s="105"/>
      <c r="Q120" s="111" t="s">
        <v>147</v>
      </c>
      <c r="U120" s="107"/>
      <c r="V120" s="107" t="s">
        <v>3</v>
      </c>
    </row>
    <row r="121" spans="2:22" x14ac:dyDescent="0.25">
      <c r="B121" s="101" t="s">
        <v>319</v>
      </c>
      <c r="C121" s="110"/>
      <c r="D121" s="105" t="s">
        <v>257</v>
      </c>
      <c r="E121" s="105"/>
      <c r="F121" s="105"/>
      <c r="G121" s="105"/>
      <c r="H121" s="105"/>
      <c r="I121" s="105"/>
      <c r="J121" s="105"/>
      <c r="K121" s="105" t="s">
        <v>237</v>
      </c>
      <c r="L121" s="105" t="s">
        <v>237</v>
      </c>
      <c r="M121" s="105"/>
      <c r="N121" s="105"/>
      <c r="O121" s="105"/>
      <c r="Q121" s="111" t="s">
        <v>147</v>
      </c>
      <c r="U121" s="107">
        <v>113</v>
      </c>
      <c r="V121" s="107" t="s">
        <v>4</v>
      </c>
    </row>
    <row r="122" spans="2:22" hidden="1" x14ac:dyDescent="0.25">
      <c r="B122" s="101" t="s">
        <v>3</v>
      </c>
      <c r="C122" s="110" t="s">
        <v>2</v>
      </c>
      <c r="D122" s="105"/>
      <c r="E122" s="105"/>
      <c r="F122" s="105"/>
      <c r="G122" s="105"/>
      <c r="H122" s="105"/>
      <c r="I122" s="105"/>
      <c r="J122" s="105"/>
      <c r="K122" s="105"/>
      <c r="L122" s="105"/>
      <c r="M122" s="105"/>
      <c r="N122" s="105"/>
      <c r="O122" s="105"/>
      <c r="Q122" s="111" t="s">
        <v>147</v>
      </c>
      <c r="U122" s="107"/>
      <c r="V122" s="107" t="s">
        <v>3</v>
      </c>
    </row>
    <row r="123" spans="2:22" hidden="1" x14ac:dyDescent="0.25">
      <c r="B123" s="101" t="s">
        <v>3</v>
      </c>
      <c r="C123" s="110" t="s">
        <v>2</v>
      </c>
      <c r="D123" s="105"/>
      <c r="E123" s="105"/>
      <c r="F123" s="105"/>
      <c r="G123" s="105"/>
      <c r="H123" s="105"/>
      <c r="I123" s="105"/>
      <c r="J123" s="105"/>
      <c r="K123" s="105"/>
      <c r="L123" s="105"/>
      <c r="M123" s="105"/>
      <c r="N123" s="105"/>
      <c r="O123" s="105"/>
      <c r="Q123" s="111" t="s">
        <v>147</v>
      </c>
      <c r="U123" s="107"/>
      <c r="V123" s="107" t="s">
        <v>3</v>
      </c>
    </row>
    <row r="124" spans="2:22" hidden="1" x14ac:dyDescent="0.25">
      <c r="B124" s="101" t="s">
        <v>3</v>
      </c>
      <c r="C124" s="110" t="s">
        <v>2</v>
      </c>
      <c r="D124" s="105"/>
      <c r="E124" s="105"/>
      <c r="F124" s="105"/>
      <c r="G124" s="105"/>
      <c r="H124" s="105"/>
      <c r="I124" s="105"/>
      <c r="J124" s="105"/>
      <c r="K124" s="105"/>
      <c r="L124" s="105"/>
      <c r="M124" s="105"/>
      <c r="N124" s="105"/>
      <c r="O124" s="105"/>
      <c r="Q124" s="111" t="s">
        <v>147</v>
      </c>
      <c r="U124" s="107"/>
      <c r="V124" s="107" t="s">
        <v>3</v>
      </c>
    </row>
    <row r="125" spans="2:22" x14ac:dyDescent="0.25">
      <c r="B125" s="101" t="s">
        <v>320</v>
      </c>
      <c r="C125" s="110" t="s">
        <v>250</v>
      </c>
      <c r="D125" s="105"/>
      <c r="E125" s="105"/>
      <c r="F125" s="105"/>
      <c r="G125" s="105"/>
      <c r="H125" s="105"/>
      <c r="I125" s="105"/>
      <c r="J125" s="105"/>
      <c r="K125" s="105"/>
      <c r="L125" s="105"/>
      <c r="M125" s="105"/>
      <c r="N125" s="105"/>
      <c r="O125" s="105"/>
      <c r="Q125" s="111" t="s">
        <v>160</v>
      </c>
      <c r="U125" s="107">
        <v>200</v>
      </c>
      <c r="V125" s="105" t="s">
        <v>251</v>
      </c>
    </row>
    <row r="126" spans="2:22" hidden="1" x14ac:dyDescent="0.25">
      <c r="B126" s="101" t="s">
        <v>3</v>
      </c>
      <c r="C126" s="110" t="s">
        <v>2</v>
      </c>
      <c r="D126" s="105"/>
      <c r="E126" s="105"/>
      <c r="F126" s="105"/>
      <c r="G126" s="105"/>
      <c r="H126" s="105"/>
      <c r="I126" s="105"/>
      <c r="J126" s="105"/>
      <c r="K126" s="105"/>
      <c r="L126" s="105"/>
      <c r="M126" s="105"/>
      <c r="N126" s="105"/>
      <c r="O126" s="105"/>
      <c r="Q126" s="111" t="s">
        <v>147</v>
      </c>
      <c r="U126" s="107"/>
      <c r="V126" s="105" t="s">
        <v>3</v>
      </c>
    </row>
    <row r="127" spans="2:22" hidden="1" x14ac:dyDescent="0.25">
      <c r="B127" s="101" t="s">
        <v>3</v>
      </c>
      <c r="C127" s="110" t="s">
        <v>2</v>
      </c>
      <c r="D127" s="105"/>
      <c r="E127" s="105"/>
      <c r="F127" s="105"/>
      <c r="G127" s="105"/>
      <c r="H127" s="105"/>
      <c r="I127" s="105"/>
      <c r="J127" s="105"/>
      <c r="K127" s="105"/>
      <c r="L127" s="105"/>
      <c r="M127" s="105"/>
      <c r="N127" s="105"/>
      <c r="O127" s="105"/>
      <c r="Q127" s="111" t="s">
        <v>147</v>
      </c>
      <c r="U127" s="107"/>
      <c r="V127" s="105" t="s">
        <v>3</v>
      </c>
    </row>
    <row r="128" spans="2:22" hidden="1" x14ac:dyDescent="0.25">
      <c r="B128" s="101" t="s">
        <v>3</v>
      </c>
      <c r="C128" s="110" t="s">
        <v>2</v>
      </c>
      <c r="D128" s="105"/>
      <c r="E128" s="105"/>
      <c r="F128" s="105"/>
      <c r="G128" s="105"/>
      <c r="H128" s="105"/>
      <c r="I128" s="105"/>
      <c r="J128" s="105"/>
      <c r="K128" s="105"/>
      <c r="L128" s="105"/>
      <c r="M128" s="105"/>
      <c r="N128" s="105"/>
      <c r="O128" s="105"/>
      <c r="Q128" s="111" t="s">
        <v>147</v>
      </c>
      <c r="U128" s="107"/>
      <c r="V128" s="105" t="s">
        <v>3</v>
      </c>
    </row>
    <row r="129" spans="2:22" x14ac:dyDescent="0.25">
      <c r="B129" s="101" t="s">
        <v>321</v>
      </c>
      <c r="C129" s="110" t="s">
        <v>250</v>
      </c>
      <c r="D129" s="105"/>
      <c r="E129" s="105"/>
      <c r="F129" s="105"/>
      <c r="G129" s="105"/>
      <c r="H129" s="105"/>
      <c r="I129" s="105"/>
      <c r="J129" s="105"/>
      <c r="K129" s="105"/>
      <c r="L129" s="105"/>
      <c r="M129" s="105"/>
      <c r="N129" s="105"/>
      <c r="O129" s="105"/>
      <c r="Q129" s="111" t="s">
        <v>160</v>
      </c>
      <c r="U129" s="107">
        <v>200</v>
      </c>
      <c r="V129" s="105" t="s">
        <v>251</v>
      </c>
    </row>
    <row r="130" spans="2:22" hidden="1" x14ac:dyDescent="0.25">
      <c r="B130" s="101" t="s">
        <v>3</v>
      </c>
      <c r="C130" s="110" t="s">
        <v>2</v>
      </c>
      <c r="D130" s="105"/>
      <c r="E130" s="105"/>
      <c r="F130" s="105"/>
      <c r="G130" s="105"/>
      <c r="H130" s="105"/>
      <c r="I130" s="105"/>
      <c r="J130" s="105"/>
      <c r="K130" s="105"/>
      <c r="L130" s="105"/>
      <c r="M130" s="105"/>
      <c r="N130" s="105"/>
      <c r="O130" s="105"/>
      <c r="Q130" s="111" t="s">
        <v>147</v>
      </c>
      <c r="U130" s="107"/>
      <c r="V130" s="105" t="s">
        <v>3</v>
      </c>
    </row>
    <row r="131" spans="2:22" hidden="1" x14ac:dyDescent="0.25">
      <c r="B131" s="101" t="s">
        <v>3</v>
      </c>
      <c r="C131" s="110" t="s">
        <v>2</v>
      </c>
      <c r="D131" s="105"/>
      <c r="E131" s="105"/>
      <c r="F131" s="105"/>
      <c r="G131" s="105"/>
      <c r="H131" s="105"/>
      <c r="I131" s="105"/>
      <c r="J131" s="105"/>
      <c r="K131" s="105"/>
      <c r="L131" s="105"/>
      <c r="M131" s="105"/>
      <c r="N131" s="105"/>
      <c r="O131" s="105"/>
      <c r="Q131" s="111" t="s">
        <v>147</v>
      </c>
      <c r="U131" s="107"/>
      <c r="V131" s="105" t="s">
        <v>3</v>
      </c>
    </row>
    <row r="132" spans="2:22" ht="17.25" customHeight="1" x14ac:dyDescent="0.25">
      <c r="B132" s="101" t="s">
        <v>375</v>
      </c>
      <c r="C132" s="110" t="s">
        <v>2</v>
      </c>
      <c r="D132" s="105"/>
      <c r="E132" s="105"/>
      <c r="F132" s="105"/>
      <c r="G132" s="105"/>
      <c r="H132" s="105"/>
      <c r="I132" s="105"/>
      <c r="J132" s="105"/>
      <c r="K132" s="105"/>
      <c r="L132" s="105"/>
      <c r="M132" s="105"/>
      <c r="N132" s="105"/>
      <c r="O132" s="105"/>
      <c r="Q132" s="111" t="s">
        <v>147</v>
      </c>
      <c r="U132" s="107"/>
      <c r="V132" s="105" t="s">
        <v>3</v>
      </c>
    </row>
    <row r="133" spans="2:22" s="112" customFormat="1" ht="17.25" customHeight="1" x14ac:dyDescent="0.25">
      <c r="B133" s="103" t="s">
        <v>376</v>
      </c>
      <c r="C133" s="110" t="s">
        <v>252</v>
      </c>
      <c r="D133" s="105" t="s">
        <v>253</v>
      </c>
      <c r="E133" s="105"/>
      <c r="F133" s="105" t="s">
        <v>237</v>
      </c>
      <c r="G133" s="105" t="s">
        <v>237</v>
      </c>
      <c r="H133" s="105"/>
      <c r="I133" s="105"/>
      <c r="J133" s="105"/>
      <c r="K133" s="105" t="s">
        <v>237</v>
      </c>
      <c r="L133" s="105" t="s">
        <v>237</v>
      </c>
      <c r="M133" s="105"/>
      <c r="N133" s="105"/>
      <c r="O133" s="105"/>
      <c r="Q133" s="112" t="s">
        <v>160</v>
      </c>
      <c r="U133" s="105">
        <v>129</v>
      </c>
      <c r="V133" s="105" t="s">
        <v>4</v>
      </c>
    </row>
    <row r="134" spans="2:22" s="112" customFormat="1" x14ac:dyDescent="0.25"/>
    <row r="135" spans="2:22" s="112" customFormat="1" x14ac:dyDescent="0.25"/>
    <row r="136" spans="2:22" s="112" customFormat="1" x14ac:dyDescent="0.25"/>
    <row r="137" spans="2:22" s="112" customFormat="1" x14ac:dyDescent="0.25"/>
    <row r="138" spans="2:22" s="112" customFormat="1" x14ac:dyDescent="0.25"/>
    <row r="139" spans="2:22" s="112" customFormat="1" x14ac:dyDescent="0.25"/>
    <row r="140" spans="2:22" s="112" customFormat="1" x14ac:dyDescent="0.25"/>
    <row r="141" spans="2:22" s="112" customFormat="1" x14ac:dyDescent="0.25"/>
  </sheetData>
  <mergeCells count="4">
    <mergeCell ref="X32:Y32"/>
    <mergeCell ref="X43:Y43"/>
    <mergeCell ref="X49:Z54"/>
    <mergeCell ref="X22:Y22"/>
  </mergeCells>
  <pageMargins left="0.7" right="0.7" top="0.75" bottom="0.75" header="0.3" footer="0.3"/>
  <pageSetup orientation="portrait" horizontalDpi="360" verticalDpi="360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4">
    <tablePart r:id="rId2"/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B1:Z141"/>
  <sheetViews>
    <sheetView zoomScaleNormal="100" workbookViewId="0">
      <pane ySplit="4" topLeftCell="A5" activePane="bottomLeft" state="frozen"/>
      <selection activeCell="E1" sqref="E1"/>
      <selection pane="bottomLeft" sqref="A1:XFD1048576"/>
    </sheetView>
  </sheetViews>
  <sheetFormatPr defaultColWidth="12.5703125" defaultRowHeight="15.75" x14ac:dyDescent="0.25"/>
  <cols>
    <col min="1" max="1" width="13.85546875" style="101" customWidth="1"/>
    <col min="2" max="2" width="22.28515625" style="101" bestFit="1" customWidth="1"/>
    <col min="3" max="3" width="15.28515625" style="101" bestFit="1" customWidth="1"/>
    <col min="4" max="4" width="18" style="101" bestFit="1" customWidth="1"/>
    <col min="5" max="5" width="8.140625" style="101" bestFit="1" customWidth="1"/>
    <col min="6" max="6" width="8.85546875" style="101" bestFit="1" customWidth="1"/>
    <col min="7" max="7" width="7.140625" style="101" customWidth="1"/>
    <col min="8" max="11" width="6.7109375" style="101" customWidth="1"/>
    <col min="12" max="12" width="13.28515625" style="101" customWidth="1"/>
    <col min="13" max="15" width="6.7109375" style="101" customWidth="1"/>
    <col min="16" max="16" width="12.5703125" style="101"/>
    <col min="17" max="17" width="23.140625" style="101" bestFit="1" customWidth="1"/>
    <col min="18" max="18" width="12.5703125" style="101"/>
    <col min="19" max="19" width="14.5703125" style="101" bestFit="1" customWidth="1"/>
    <col min="20" max="23" width="12.5703125" style="101"/>
    <col min="24" max="26" width="20.7109375" style="101" customWidth="1"/>
    <col min="27" max="16384" width="12.5703125" style="101"/>
  </cols>
  <sheetData>
    <row r="1" spans="2:26" x14ac:dyDescent="0.25">
      <c r="B1" s="127" t="s">
        <v>164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</row>
    <row r="2" spans="2:26" x14ac:dyDescent="0.25">
      <c r="B2" s="96" t="s">
        <v>1</v>
      </c>
      <c r="C2" s="97"/>
      <c r="D2" s="97" t="s">
        <v>12</v>
      </c>
      <c r="E2" s="97"/>
      <c r="F2" s="100" t="s">
        <v>8</v>
      </c>
      <c r="G2" s="99"/>
      <c r="H2" s="99"/>
      <c r="I2" s="99"/>
      <c r="J2" s="99"/>
      <c r="K2" s="99"/>
      <c r="L2" s="99"/>
      <c r="M2" s="99"/>
      <c r="N2" s="99"/>
      <c r="O2" s="99"/>
      <c r="P2" s="100" t="s">
        <v>155</v>
      </c>
      <c r="Q2" s="99"/>
      <c r="R2" s="99"/>
      <c r="S2" s="99"/>
      <c r="T2" s="128"/>
      <c r="U2" s="97" t="s">
        <v>9</v>
      </c>
      <c r="V2" s="98"/>
    </row>
    <row r="3" spans="2:26" x14ac:dyDescent="0.25">
      <c r="B3" s="99" t="s">
        <v>22</v>
      </c>
      <c r="C3" s="100" t="s">
        <v>23</v>
      </c>
      <c r="D3" s="100" t="s">
        <v>15</v>
      </c>
      <c r="E3" s="100" t="s">
        <v>11</v>
      </c>
      <c r="F3" s="101" t="s">
        <v>136</v>
      </c>
      <c r="G3" s="101" t="s">
        <v>137</v>
      </c>
      <c r="H3" s="101" t="s">
        <v>138</v>
      </c>
      <c r="I3" s="101" t="s">
        <v>142</v>
      </c>
      <c r="J3" s="101" t="s">
        <v>150</v>
      </c>
      <c r="K3" s="101" t="s">
        <v>182</v>
      </c>
      <c r="L3" s="101" t="s">
        <v>183</v>
      </c>
      <c r="M3" s="101" t="s">
        <v>146</v>
      </c>
      <c r="N3" s="101" t="s">
        <v>239</v>
      </c>
      <c r="O3" s="101" t="s">
        <v>238</v>
      </c>
      <c r="P3" s="102" t="s">
        <v>186</v>
      </c>
      <c r="Q3" s="102" t="s">
        <v>156</v>
      </c>
      <c r="R3" s="102" t="s">
        <v>157</v>
      </c>
      <c r="S3" s="102" t="s">
        <v>158</v>
      </c>
      <c r="T3" s="102" t="s">
        <v>159</v>
      </c>
      <c r="U3" s="102" t="s">
        <v>13</v>
      </c>
      <c r="V3" s="102" t="s">
        <v>14</v>
      </c>
    </row>
    <row r="4" spans="2:26" x14ac:dyDescent="0.25">
      <c r="B4" s="103"/>
      <c r="C4" s="104"/>
      <c r="D4" s="105"/>
      <c r="E4" s="105"/>
      <c r="F4" s="106">
        <f>OOB</f>
        <v>110</v>
      </c>
      <c r="G4" s="107">
        <f>Provisioner</f>
        <v>120</v>
      </c>
      <c r="H4" s="107">
        <f>PrivAPI</f>
        <v>140</v>
      </c>
      <c r="I4" s="107">
        <f>Storage</f>
        <v>170</v>
      </c>
      <c r="J4" s="107">
        <f>CephCluster</f>
        <v>180</v>
      </c>
      <c r="K4" s="107">
        <f>ExtAPI</f>
        <v>1221</v>
      </c>
      <c r="L4" s="107">
        <f>EXTTen</f>
        <v>1222</v>
      </c>
      <c r="M4" s="107">
        <f>TenantBeg</f>
        <v>201</v>
      </c>
      <c r="N4" s="107">
        <f>TenantEnd</f>
        <v>250</v>
      </c>
      <c r="O4" s="108">
        <f>TenTunnel</f>
        <v>130</v>
      </c>
      <c r="P4" s="109"/>
      <c r="Q4" s="109"/>
      <c r="R4" s="109"/>
      <c r="S4" s="109"/>
      <c r="T4" s="109"/>
      <c r="U4" s="105"/>
      <c r="V4" s="105"/>
    </row>
    <row r="5" spans="2:26" x14ac:dyDescent="0.25">
      <c r="B5" s="101" t="s">
        <v>272</v>
      </c>
      <c r="C5" s="110" t="s">
        <v>242</v>
      </c>
      <c r="D5" s="110" t="s">
        <v>145</v>
      </c>
      <c r="E5" s="105" t="s">
        <v>259</v>
      </c>
      <c r="F5" s="105" t="s">
        <v>237</v>
      </c>
      <c r="G5" s="105" t="s">
        <v>237</v>
      </c>
      <c r="H5" s="105" t="s">
        <v>237</v>
      </c>
      <c r="I5" s="105" t="s">
        <v>237</v>
      </c>
      <c r="J5" s="105"/>
      <c r="K5" s="105" t="s">
        <v>237</v>
      </c>
      <c r="L5" s="105"/>
      <c r="M5" s="105"/>
      <c r="N5" s="105"/>
      <c r="O5" s="105"/>
      <c r="P5" s="111" t="s">
        <v>187</v>
      </c>
      <c r="Q5" s="111" t="s">
        <v>160</v>
      </c>
      <c r="R5" s="111" t="s">
        <v>162</v>
      </c>
      <c r="S5" s="111">
        <v>9216</v>
      </c>
      <c r="T5" s="111" t="s">
        <v>161</v>
      </c>
      <c r="U5" s="107">
        <v>1</v>
      </c>
      <c r="V5" s="107" t="s">
        <v>4</v>
      </c>
      <c r="X5" s="116" t="s">
        <v>17</v>
      </c>
      <c r="Y5" s="117"/>
      <c r="Z5" s="118"/>
    </row>
    <row r="6" spans="2:26" x14ac:dyDescent="0.25">
      <c r="B6" s="101" t="s">
        <v>273</v>
      </c>
      <c r="C6" s="110" t="s">
        <v>242</v>
      </c>
      <c r="D6" s="110" t="s">
        <v>246</v>
      </c>
      <c r="E6" s="105" t="s">
        <v>259</v>
      </c>
      <c r="F6" s="105"/>
      <c r="G6" s="105" t="s">
        <v>240</v>
      </c>
      <c r="H6" s="105" t="s">
        <v>237</v>
      </c>
      <c r="I6" s="105" t="s">
        <v>237</v>
      </c>
      <c r="J6" s="105"/>
      <c r="K6" s="105"/>
      <c r="L6" s="105" t="s">
        <v>237</v>
      </c>
      <c r="M6" s="105" t="s">
        <v>237</v>
      </c>
      <c r="N6" s="105" t="s">
        <v>237</v>
      </c>
      <c r="O6" s="105" t="s">
        <v>237</v>
      </c>
      <c r="P6" s="111" t="s">
        <v>187</v>
      </c>
      <c r="Q6" s="111" t="s">
        <v>160</v>
      </c>
      <c r="R6" s="111" t="s">
        <v>162</v>
      </c>
      <c r="S6" s="111">
        <v>9216</v>
      </c>
      <c r="T6" s="111" t="s">
        <v>161</v>
      </c>
      <c r="U6" s="107">
        <v>2</v>
      </c>
      <c r="V6" s="107" t="s">
        <v>4</v>
      </c>
      <c r="X6" s="114" t="s">
        <v>16</v>
      </c>
      <c r="Y6" s="115"/>
      <c r="Z6" s="115"/>
    </row>
    <row r="7" spans="2:26" x14ac:dyDescent="0.25">
      <c r="B7" s="101" t="s">
        <v>274</v>
      </c>
      <c r="C7" s="110" t="s">
        <v>242</v>
      </c>
      <c r="D7" s="110" t="s">
        <v>247</v>
      </c>
      <c r="E7" s="105" t="s">
        <v>259</v>
      </c>
      <c r="F7" s="105"/>
      <c r="G7" s="105" t="s">
        <v>240</v>
      </c>
      <c r="H7" s="105" t="s">
        <v>237</v>
      </c>
      <c r="I7" s="105" t="s">
        <v>237</v>
      </c>
      <c r="J7" s="105"/>
      <c r="K7" s="105"/>
      <c r="L7" s="105" t="s">
        <v>237</v>
      </c>
      <c r="M7" s="105" t="s">
        <v>237</v>
      </c>
      <c r="N7" s="105" t="s">
        <v>237</v>
      </c>
      <c r="O7" s="105" t="s">
        <v>237</v>
      </c>
      <c r="P7" s="111" t="s">
        <v>187</v>
      </c>
      <c r="Q7" s="111" t="s">
        <v>160</v>
      </c>
      <c r="R7" s="111" t="s">
        <v>162</v>
      </c>
      <c r="S7" s="111">
        <v>9216</v>
      </c>
      <c r="T7" s="111" t="s">
        <v>161</v>
      </c>
      <c r="U7" s="107">
        <v>3</v>
      </c>
      <c r="V7" s="107" t="s">
        <v>4</v>
      </c>
      <c r="X7" s="116" t="s">
        <v>7</v>
      </c>
      <c r="Y7" s="115"/>
      <c r="Z7" s="115"/>
    </row>
    <row r="8" spans="2:26" x14ac:dyDescent="0.25">
      <c r="B8" s="101" t="s">
        <v>275</v>
      </c>
      <c r="C8" s="110" t="s">
        <v>242</v>
      </c>
      <c r="D8" s="110" t="s">
        <v>248</v>
      </c>
      <c r="E8" s="105" t="s">
        <v>259</v>
      </c>
      <c r="F8" s="105"/>
      <c r="G8" s="105" t="s">
        <v>240</v>
      </c>
      <c r="H8" s="105" t="s">
        <v>237</v>
      </c>
      <c r="I8" s="105" t="s">
        <v>237</v>
      </c>
      <c r="J8" s="105"/>
      <c r="K8" s="105"/>
      <c r="L8" s="105" t="s">
        <v>237</v>
      </c>
      <c r="M8" s="105" t="s">
        <v>237</v>
      </c>
      <c r="N8" s="105" t="s">
        <v>237</v>
      </c>
      <c r="O8" s="105" t="s">
        <v>237</v>
      </c>
      <c r="P8" s="111" t="s">
        <v>187</v>
      </c>
      <c r="Q8" s="111" t="s">
        <v>160</v>
      </c>
      <c r="R8" s="111" t="s">
        <v>162</v>
      </c>
      <c r="S8" s="111">
        <v>9216</v>
      </c>
      <c r="T8" s="111" t="s">
        <v>161</v>
      </c>
      <c r="U8" s="107">
        <v>4</v>
      </c>
      <c r="V8" s="107" t="s">
        <v>4</v>
      </c>
      <c r="X8" s="114" t="s">
        <v>30</v>
      </c>
      <c r="Y8" s="115"/>
      <c r="Z8" s="115"/>
    </row>
    <row r="9" spans="2:26" x14ac:dyDescent="0.25">
      <c r="B9" s="101" t="s">
        <v>276</v>
      </c>
      <c r="C9" s="110" t="s">
        <v>242</v>
      </c>
      <c r="D9" s="105" t="s">
        <v>243</v>
      </c>
      <c r="E9" s="105" t="s">
        <v>259</v>
      </c>
      <c r="F9" s="105"/>
      <c r="G9" s="105" t="s">
        <v>240</v>
      </c>
      <c r="H9" s="105" t="s">
        <v>237</v>
      </c>
      <c r="I9" s="105"/>
      <c r="J9" s="105"/>
      <c r="K9" s="105"/>
      <c r="L9" s="105"/>
      <c r="M9" s="105" t="s">
        <v>237</v>
      </c>
      <c r="N9" s="105" t="s">
        <v>237</v>
      </c>
      <c r="O9" s="105" t="s">
        <v>237</v>
      </c>
      <c r="P9" s="111" t="s">
        <v>187</v>
      </c>
      <c r="Q9" s="111" t="s">
        <v>160</v>
      </c>
      <c r="R9" s="111" t="s">
        <v>162</v>
      </c>
      <c r="S9" s="111">
        <v>9216</v>
      </c>
      <c r="T9" s="111" t="s">
        <v>161</v>
      </c>
      <c r="U9" s="107">
        <v>5</v>
      </c>
      <c r="V9" s="107" t="s">
        <v>4</v>
      </c>
    </row>
    <row r="10" spans="2:26" x14ac:dyDescent="0.25">
      <c r="B10" s="101" t="s">
        <v>277</v>
      </c>
      <c r="C10" s="110" t="s">
        <v>242</v>
      </c>
      <c r="D10" s="105" t="s">
        <v>244</v>
      </c>
      <c r="E10" s="105" t="s">
        <v>259</v>
      </c>
      <c r="F10" s="105"/>
      <c r="G10" s="105" t="s">
        <v>240</v>
      </c>
      <c r="H10" s="105" t="s">
        <v>237</v>
      </c>
      <c r="I10" s="105"/>
      <c r="J10" s="105"/>
      <c r="K10" s="105"/>
      <c r="L10" s="105"/>
      <c r="M10" s="105" t="s">
        <v>237</v>
      </c>
      <c r="N10" s="105" t="s">
        <v>237</v>
      </c>
      <c r="O10" s="105" t="s">
        <v>237</v>
      </c>
      <c r="P10" s="111" t="s">
        <v>187</v>
      </c>
      <c r="Q10" s="111" t="s">
        <v>160</v>
      </c>
      <c r="R10" s="111" t="s">
        <v>162</v>
      </c>
      <c r="S10" s="111">
        <v>9216</v>
      </c>
      <c r="T10" s="111" t="s">
        <v>161</v>
      </c>
      <c r="U10" s="107">
        <v>6</v>
      </c>
      <c r="V10" s="107" t="s">
        <v>4</v>
      </c>
      <c r="X10" s="113" t="s">
        <v>98</v>
      </c>
      <c r="Y10" s="119" t="s">
        <v>152</v>
      </c>
      <c r="Z10" s="119"/>
    </row>
    <row r="11" spans="2:26" x14ac:dyDescent="0.25">
      <c r="B11" s="101" t="s">
        <v>278</v>
      </c>
      <c r="C11" s="110" t="s">
        <v>242</v>
      </c>
      <c r="D11" s="105" t="s">
        <v>245</v>
      </c>
      <c r="E11" s="105" t="s">
        <v>259</v>
      </c>
      <c r="F11" s="105"/>
      <c r="G11" s="105" t="s">
        <v>240</v>
      </c>
      <c r="H11" s="105" t="s">
        <v>237</v>
      </c>
      <c r="I11" s="105"/>
      <c r="J11" s="105"/>
      <c r="K11" s="105"/>
      <c r="L11" s="105"/>
      <c r="M11" s="105" t="s">
        <v>237</v>
      </c>
      <c r="N11" s="105" t="s">
        <v>237</v>
      </c>
      <c r="O11" s="105" t="s">
        <v>237</v>
      </c>
      <c r="P11" s="111" t="s">
        <v>187</v>
      </c>
      <c r="Q11" s="111" t="s">
        <v>160</v>
      </c>
      <c r="R11" s="111" t="s">
        <v>162</v>
      </c>
      <c r="S11" s="111">
        <v>9216</v>
      </c>
      <c r="T11" s="111" t="s">
        <v>161</v>
      </c>
      <c r="U11" s="107">
        <v>7</v>
      </c>
      <c r="V11" s="107" t="s">
        <v>4</v>
      </c>
      <c r="X11" s="120" t="s">
        <v>18</v>
      </c>
      <c r="Y11" s="115"/>
      <c r="Z11" s="115"/>
    </row>
    <row r="12" spans="2:26" x14ac:dyDescent="0.25">
      <c r="B12" s="101" t="s">
        <v>279</v>
      </c>
      <c r="C12" s="110" t="s">
        <v>2</v>
      </c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7"/>
      <c r="Q12" s="111" t="s">
        <v>147</v>
      </c>
      <c r="R12" s="107"/>
      <c r="S12" s="107"/>
      <c r="T12" s="107"/>
      <c r="U12" s="107">
        <v>8</v>
      </c>
      <c r="V12" s="107" t="s">
        <v>3</v>
      </c>
      <c r="X12" s="113" t="s">
        <v>19</v>
      </c>
      <c r="Y12" s="115">
        <v>24576</v>
      </c>
      <c r="Z12" s="115"/>
    </row>
    <row r="13" spans="2:26" x14ac:dyDescent="0.25">
      <c r="B13" s="101" t="s">
        <v>296</v>
      </c>
      <c r="C13" s="110" t="s">
        <v>2</v>
      </c>
      <c r="D13" s="105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5"/>
      <c r="P13" s="107"/>
      <c r="Q13" s="111" t="s">
        <v>147</v>
      </c>
      <c r="R13" s="107"/>
      <c r="S13" s="107"/>
      <c r="T13" s="107"/>
      <c r="U13" s="107">
        <v>9</v>
      </c>
      <c r="V13" s="107" t="s">
        <v>3</v>
      </c>
    </row>
    <row r="14" spans="2:26" hidden="1" x14ac:dyDescent="0.25">
      <c r="B14" s="101" t="s">
        <v>3</v>
      </c>
      <c r="C14" s="110" t="s">
        <v>2</v>
      </c>
      <c r="D14" s="105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7"/>
      <c r="Q14" s="111" t="s">
        <v>147</v>
      </c>
      <c r="R14" s="107"/>
      <c r="S14" s="107"/>
      <c r="T14" s="107"/>
      <c r="U14" s="107">
        <v>10</v>
      </c>
      <c r="V14" s="107" t="s">
        <v>3</v>
      </c>
      <c r="X14" s="113" t="s">
        <v>21</v>
      </c>
      <c r="Y14" s="119" t="s">
        <v>153</v>
      </c>
      <c r="Z14" s="119"/>
    </row>
    <row r="15" spans="2:26" hidden="1" x14ac:dyDescent="0.25">
      <c r="B15" s="101" t="s">
        <v>3</v>
      </c>
      <c r="C15" s="110" t="s">
        <v>2</v>
      </c>
      <c r="D15" s="105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7"/>
      <c r="Q15" s="111" t="s">
        <v>147</v>
      </c>
      <c r="R15" s="107"/>
      <c r="S15" s="107"/>
      <c r="T15" s="107"/>
      <c r="U15" s="107">
        <v>11</v>
      </c>
      <c r="V15" s="107" t="s">
        <v>3</v>
      </c>
    </row>
    <row r="16" spans="2:26" hidden="1" x14ac:dyDescent="0.25">
      <c r="B16" s="101" t="s">
        <v>3</v>
      </c>
      <c r="C16" s="110" t="s">
        <v>2</v>
      </c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7"/>
      <c r="Q16" s="111" t="s">
        <v>147</v>
      </c>
      <c r="R16" s="107"/>
      <c r="S16" s="107"/>
      <c r="T16" s="107"/>
      <c r="U16" s="107">
        <v>12</v>
      </c>
      <c r="V16" s="107" t="s">
        <v>3</v>
      </c>
      <c r="X16" s="121" t="s">
        <v>29</v>
      </c>
      <c r="Y16" s="122"/>
      <c r="Z16" s="122"/>
    </row>
    <row r="17" spans="2:26" x14ac:dyDescent="0.25">
      <c r="B17" s="101" t="s">
        <v>297</v>
      </c>
      <c r="C17" s="110" t="s">
        <v>2</v>
      </c>
      <c r="D17" s="105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7"/>
      <c r="Q17" s="111" t="s">
        <v>147</v>
      </c>
      <c r="R17" s="107"/>
      <c r="S17" s="107"/>
      <c r="T17" s="107"/>
      <c r="U17" s="107">
        <v>13</v>
      </c>
      <c r="V17" s="107" t="s">
        <v>3</v>
      </c>
      <c r="X17" s="123"/>
      <c r="Y17" s="124"/>
      <c r="Z17" s="124"/>
    </row>
    <row r="18" spans="2:26" hidden="1" x14ac:dyDescent="0.25">
      <c r="B18" s="101" t="s">
        <v>3</v>
      </c>
      <c r="C18" s="110" t="s">
        <v>2</v>
      </c>
      <c r="D18" s="105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7"/>
      <c r="Q18" s="111" t="s">
        <v>147</v>
      </c>
      <c r="R18" s="107"/>
      <c r="S18" s="107"/>
      <c r="T18" s="107"/>
      <c r="U18" s="107">
        <v>14</v>
      </c>
      <c r="V18" s="107" t="s">
        <v>3</v>
      </c>
      <c r="X18" s="121"/>
      <c r="Y18" s="122"/>
      <c r="Z18" s="122"/>
    </row>
    <row r="19" spans="2:26" hidden="1" x14ac:dyDescent="0.25">
      <c r="B19" s="101" t="s">
        <v>3</v>
      </c>
      <c r="C19" s="110" t="s">
        <v>2</v>
      </c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7"/>
      <c r="Q19" s="111" t="s">
        <v>147</v>
      </c>
      <c r="R19" s="107"/>
      <c r="S19" s="107"/>
      <c r="T19" s="107"/>
      <c r="U19" s="107">
        <v>15</v>
      </c>
      <c r="V19" s="107" t="s">
        <v>3</v>
      </c>
      <c r="X19" s="123"/>
      <c r="Y19" s="124"/>
      <c r="Z19" s="124"/>
    </row>
    <row r="20" spans="2:26" hidden="1" x14ac:dyDescent="0.25">
      <c r="B20" s="101" t="s">
        <v>3</v>
      </c>
      <c r="C20" s="110" t="s">
        <v>2</v>
      </c>
      <c r="D20" s="105"/>
      <c r="E20" s="105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7"/>
      <c r="Q20" s="111" t="s">
        <v>147</v>
      </c>
      <c r="R20" s="107"/>
      <c r="S20" s="107"/>
      <c r="T20" s="107"/>
      <c r="U20" s="107">
        <v>16</v>
      </c>
      <c r="V20" s="107" t="s">
        <v>3</v>
      </c>
      <c r="X20" s="121"/>
      <c r="Y20" s="122"/>
      <c r="Z20" s="122"/>
    </row>
    <row r="21" spans="2:26" x14ac:dyDescent="0.25">
      <c r="B21" s="101" t="s">
        <v>280</v>
      </c>
      <c r="C21" s="110" t="s">
        <v>242</v>
      </c>
      <c r="D21" s="105" t="s">
        <v>139</v>
      </c>
      <c r="E21" s="105" t="s">
        <v>259</v>
      </c>
      <c r="F21" s="105"/>
      <c r="G21" s="105" t="s">
        <v>240</v>
      </c>
      <c r="H21" s="105"/>
      <c r="I21" s="105" t="s">
        <v>237</v>
      </c>
      <c r="J21" s="105"/>
      <c r="K21" s="105"/>
      <c r="L21" s="105"/>
      <c r="M21" s="105"/>
      <c r="N21" s="105"/>
      <c r="O21" s="105"/>
      <c r="P21" s="111" t="s">
        <v>187</v>
      </c>
      <c r="Q21" s="111" t="s">
        <v>160</v>
      </c>
      <c r="R21" s="111" t="s">
        <v>162</v>
      </c>
      <c r="S21" s="111">
        <v>9216</v>
      </c>
      <c r="T21" s="111" t="s">
        <v>161</v>
      </c>
      <c r="U21" s="107">
        <v>17</v>
      </c>
      <c r="V21" s="107" t="s">
        <v>4</v>
      </c>
    </row>
    <row r="22" spans="2:26" x14ac:dyDescent="0.25">
      <c r="B22" s="101" t="s">
        <v>281</v>
      </c>
      <c r="C22" s="110" t="s">
        <v>242</v>
      </c>
      <c r="D22" s="105" t="s">
        <v>140</v>
      </c>
      <c r="E22" s="105" t="s">
        <v>259</v>
      </c>
      <c r="F22" s="105"/>
      <c r="G22" s="105" t="s">
        <v>240</v>
      </c>
      <c r="H22" s="105"/>
      <c r="I22" s="105" t="s">
        <v>237</v>
      </c>
      <c r="J22" s="105"/>
      <c r="K22" s="105"/>
      <c r="L22" s="105"/>
      <c r="M22" s="105"/>
      <c r="N22" s="105"/>
      <c r="O22" s="105"/>
      <c r="P22" s="111" t="s">
        <v>187</v>
      </c>
      <c r="Q22" s="111" t="s">
        <v>160</v>
      </c>
      <c r="R22" s="111" t="s">
        <v>162</v>
      </c>
      <c r="S22" s="111">
        <v>9216</v>
      </c>
      <c r="T22" s="111" t="s">
        <v>161</v>
      </c>
      <c r="U22" s="107">
        <v>18</v>
      </c>
      <c r="V22" s="107" t="s">
        <v>4</v>
      </c>
      <c r="X22" s="147" t="s">
        <v>8</v>
      </c>
      <c r="Y22" s="148"/>
      <c r="Z22" s="125" t="s">
        <v>143</v>
      </c>
    </row>
    <row r="23" spans="2:26" x14ac:dyDescent="0.25">
      <c r="B23" s="101" t="s">
        <v>282</v>
      </c>
      <c r="C23" s="110" t="s">
        <v>242</v>
      </c>
      <c r="D23" s="105" t="s">
        <v>249</v>
      </c>
      <c r="E23" s="105" t="s">
        <v>259</v>
      </c>
      <c r="F23" s="105"/>
      <c r="G23" s="105" t="s">
        <v>240</v>
      </c>
      <c r="H23" s="105"/>
      <c r="I23" s="105" t="s">
        <v>237</v>
      </c>
      <c r="J23" s="105"/>
      <c r="K23" s="105"/>
      <c r="L23" s="105"/>
      <c r="M23" s="105"/>
      <c r="N23" s="105"/>
      <c r="O23" s="105"/>
      <c r="P23" s="111" t="s">
        <v>187</v>
      </c>
      <c r="Q23" s="111" t="s">
        <v>160</v>
      </c>
      <c r="R23" s="111" t="s">
        <v>162</v>
      </c>
      <c r="S23" s="111">
        <v>9216</v>
      </c>
      <c r="T23" s="111" t="s">
        <v>161</v>
      </c>
      <c r="U23" s="107">
        <v>19</v>
      </c>
      <c r="V23" s="107" t="s">
        <v>4</v>
      </c>
      <c r="X23" s="101" t="s">
        <v>28</v>
      </c>
      <c r="Y23" s="101" t="s">
        <v>0</v>
      </c>
      <c r="Z23" s="101" t="s">
        <v>143</v>
      </c>
    </row>
    <row r="24" spans="2:26" x14ac:dyDescent="0.25">
      <c r="B24" s="101" t="s">
        <v>283</v>
      </c>
      <c r="C24" s="110" t="s">
        <v>2</v>
      </c>
      <c r="D24" s="105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7"/>
      <c r="Q24" s="111" t="s">
        <v>147</v>
      </c>
      <c r="R24" s="107"/>
      <c r="S24" s="107"/>
      <c r="T24" s="107"/>
      <c r="U24" s="107">
        <v>20</v>
      </c>
      <c r="V24" s="107" t="s">
        <v>3</v>
      </c>
      <c r="X24" s="101">
        <f>OOB</f>
        <v>110</v>
      </c>
      <c r="Y24" s="101" t="str">
        <f>OOB_NAME</f>
        <v>OOB</v>
      </c>
      <c r="Z24" s="101" t="s">
        <v>20</v>
      </c>
    </row>
    <row r="25" spans="2:26" x14ac:dyDescent="0.25">
      <c r="B25" s="101" t="s">
        <v>298</v>
      </c>
      <c r="C25" s="110" t="s">
        <v>2</v>
      </c>
      <c r="D25" s="105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7"/>
      <c r="Q25" s="111" t="s">
        <v>147</v>
      </c>
      <c r="R25" s="107"/>
      <c r="S25" s="107"/>
      <c r="T25" s="107"/>
      <c r="U25" s="105">
        <v>21</v>
      </c>
      <c r="V25" s="107" t="s">
        <v>3</v>
      </c>
      <c r="X25" s="101">
        <f>Provisioner</f>
        <v>120</v>
      </c>
      <c r="Y25" s="101" t="str">
        <f>Prov_name</f>
        <v>Provisioner</v>
      </c>
      <c r="Z25" s="101" t="s">
        <v>20</v>
      </c>
    </row>
    <row r="26" spans="2:26" hidden="1" x14ac:dyDescent="0.25">
      <c r="B26" s="101" t="s">
        <v>3</v>
      </c>
      <c r="C26" s="110" t="s">
        <v>2</v>
      </c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7"/>
      <c r="Q26" s="111" t="s">
        <v>147</v>
      </c>
      <c r="R26" s="107"/>
      <c r="S26" s="107"/>
      <c r="T26" s="107"/>
      <c r="U26" s="105">
        <v>22</v>
      </c>
      <c r="V26" s="107" t="s">
        <v>3</v>
      </c>
      <c r="X26" s="101">
        <f>PrivAPI</f>
        <v>140</v>
      </c>
      <c r="Y26" s="101" t="str">
        <f>PrivAPI_name</f>
        <v>Private API</v>
      </c>
      <c r="Z26" s="101" t="s">
        <v>153</v>
      </c>
    </row>
    <row r="27" spans="2:26" hidden="1" x14ac:dyDescent="0.25">
      <c r="B27" s="101" t="s">
        <v>3</v>
      </c>
      <c r="C27" s="110" t="s">
        <v>2</v>
      </c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7"/>
      <c r="Q27" s="111" t="s">
        <v>147</v>
      </c>
      <c r="R27" s="107"/>
      <c r="S27" s="107"/>
      <c r="T27" s="107"/>
      <c r="U27" s="105">
        <v>23</v>
      </c>
      <c r="V27" s="107" t="s">
        <v>3</v>
      </c>
      <c r="X27" s="101">
        <f>Storage</f>
        <v>170</v>
      </c>
      <c r="Y27" s="114" t="str">
        <f>stor_name</f>
        <v>Storage Network</v>
      </c>
      <c r="Z27" s="101" t="s">
        <v>153</v>
      </c>
    </row>
    <row r="28" spans="2:26" hidden="1" x14ac:dyDescent="0.25">
      <c r="B28" s="101" t="s">
        <v>3</v>
      </c>
      <c r="C28" s="110" t="s">
        <v>2</v>
      </c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7"/>
      <c r="Q28" s="111" t="s">
        <v>147</v>
      </c>
      <c r="R28" s="107"/>
      <c r="S28" s="107"/>
      <c r="T28" s="107"/>
      <c r="U28" s="105">
        <v>24</v>
      </c>
      <c r="V28" s="107" t="s">
        <v>3</v>
      </c>
      <c r="X28" s="101">
        <f>CephCluster</f>
        <v>180</v>
      </c>
      <c r="Y28" s="101" t="str">
        <f>ceph_clust_name</f>
        <v>Ceph Storage Cluster Vlan</v>
      </c>
      <c r="Z28" s="101" t="s">
        <v>153</v>
      </c>
    </row>
    <row r="29" spans="2:26" x14ac:dyDescent="0.25">
      <c r="B29" s="101" t="s">
        <v>299</v>
      </c>
      <c r="C29" s="110" t="s">
        <v>2</v>
      </c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7"/>
      <c r="Q29" s="111" t="s">
        <v>147</v>
      </c>
      <c r="R29" s="107"/>
      <c r="S29" s="107"/>
      <c r="T29" s="107"/>
      <c r="U29" s="107">
        <v>25</v>
      </c>
      <c r="V29" s="107" t="s">
        <v>3</v>
      </c>
      <c r="X29" s="101">
        <f>ExtAPI</f>
        <v>1221</v>
      </c>
      <c r="Y29" s="101" t="str">
        <f>PubAPI_Name</f>
        <v>Public API Network</v>
      </c>
      <c r="Z29" s="101" t="s">
        <v>20</v>
      </c>
    </row>
    <row r="30" spans="2:26" hidden="1" x14ac:dyDescent="0.25">
      <c r="B30" s="101" t="s">
        <v>3</v>
      </c>
      <c r="C30" s="110" t="s">
        <v>2</v>
      </c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7"/>
      <c r="Q30" s="111" t="s">
        <v>147</v>
      </c>
      <c r="R30" s="107"/>
      <c r="S30" s="107"/>
      <c r="T30" s="107"/>
      <c r="U30" s="107">
        <v>26</v>
      </c>
      <c r="V30" s="107" t="s">
        <v>3</v>
      </c>
      <c r="X30" s="101">
        <f>EXTTen</f>
        <v>1222</v>
      </c>
      <c r="Y30" s="101" t="str">
        <f>Ext_net_name</f>
        <v>External Network for Tenants (floating IP)</v>
      </c>
      <c r="Z30" s="101" t="s">
        <v>153</v>
      </c>
    </row>
    <row r="31" spans="2:26" hidden="1" x14ac:dyDescent="0.25">
      <c r="B31" s="101" t="s">
        <v>3</v>
      </c>
      <c r="C31" s="110" t="s">
        <v>2</v>
      </c>
      <c r="D31" s="105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7"/>
      <c r="Q31" s="111" t="s">
        <v>147</v>
      </c>
      <c r="R31" s="107"/>
      <c r="S31" s="107"/>
      <c r="T31" s="107"/>
      <c r="U31" s="107">
        <v>27</v>
      </c>
      <c r="V31" s="107" t="s">
        <v>3</v>
      </c>
      <c r="X31" s="101" t="str">
        <f>CONCATENATE(TenantBeg,"-",TenantEnd)</f>
        <v>201-250</v>
      </c>
      <c r="Y31" s="101" t="s">
        <v>146</v>
      </c>
      <c r="Z31" s="101" t="s">
        <v>153</v>
      </c>
    </row>
    <row r="32" spans="2:26" hidden="1" x14ac:dyDescent="0.25">
      <c r="B32" s="101" t="s">
        <v>3</v>
      </c>
      <c r="C32" s="110" t="s">
        <v>2</v>
      </c>
      <c r="D32" s="105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7"/>
      <c r="Q32" s="111" t="s">
        <v>147</v>
      </c>
      <c r="R32" s="107"/>
      <c r="S32" s="107"/>
      <c r="T32" s="107"/>
      <c r="U32" s="107">
        <v>28</v>
      </c>
      <c r="V32" s="107" t="s">
        <v>3</v>
      </c>
      <c r="X32" s="153" t="s">
        <v>24</v>
      </c>
      <c r="Y32" s="154"/>
      <c r="Z32" s="125"/>
    </row>
    <row r="33" spans="2:26" x14ac:dyDescent="0.25">
      <c r="B33" s="101" t="s">
        <v>300</v>
      </c>
      <c r="C33" s="110" t="s">
        <v>2</v>
      </c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7"/>
      <c r="Q33" s="111" t="s">
        <v>147</v>
      </c>
      <c r="R33" s="107"/>
      <c r="S33" s="107"/>
      <c r="T33" s="107"/>
      <c r="U33" s="107">
        <v>29</v>
      </c>
      <c r="V33" s="107" t="s">
        <v>3</v>
      </c>
      <c r="X33" s="101" t="s">
        <v>1</v>
      </c>
      <c r="Y33" s="101" t="s">
        <v>25</v>
      </c>
      <c r="Z33" s="101" t="s">
        <v>143</v>
      </c>
    </row>
    <row r="34" spans="2:26" hidden="1" x14ac:dyDescent="0.25">
      <c r="B34" s="101" t="s">
        <v>3</v>
      </c>
      <c r="C34" s="110" t="s">
        <v>2</v>
      </c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7"/>
      <c r="Q34" s="111" t="s">
        <v>147</v>
      </c>
      <c r="R34" s="107"/>
      <c r="S34" s="107"/>
      <c r="T34" s="107"/>
      <c r="U34" s="107">
        <v>30</v>
      </c>
      <c r="V34" s="107" t="s">
        <v>3</v>
      </c>
      <c r="X34" s="101" t="s">
        <v>184</v>
      </c>
      <c r="Y34" s="126"/>
      <c r="Z34" s="101" t="s">
        <v>20</v>
      </c>
    </row>
    <row r="35" spans="2:26" hidden="1" x14ac:dyDescent="0.25">
      <c r="B35" s="101" t="s">
        <v>3</v>
      </c>
      <c r="C35" s="110" t="s">
        <v>2</v>
      </c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7"/>
      <c r="Q35" s="111" t="s">
        <v>147</v>
      </c>
      <c r="R35" s="107"/>
      <c r="S35" s="107"/>
      <c r="T35" s="107"/>
      <c r="U35" s="107">
        <v>31</v>
      </c>
      <c r="V35" s="107" t="s">
        <v>3</v>
      </c>
      <c r="X35" s="101">
        <f>OOB</f>
        <v>110</v>
      </c>
      <c r="Y35" s="126"/>
      <c r="Z35" s="101" t="s">
        <v>144</v>
      </c>
    </row>
    <row r="36" spans="2:26" hidden="1" x14ac:dyDescent="0.25">
      <c r="B36" s="101" t="s">
        <v>3</v>
      </c>
      <c r="C36" s="110" t="s">
        <v>2</v>
      </c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7"/>
      <c r="Q36" s="111" t="s">
        <v>147</v>
      </c>
      <c r="R36" s="107"/>
      <c r="S36" s="107"/>
      <c r="T36" s="107"/>
      <c r="U36" s="107">
        <v>32</v>
      </c>
      <c r="V36" s="107" t="s">
        <v>3</v>
      </c>
      <c r="X36" s="101">
        <f>Provisioner</f>
        <v>120</v>
      </c>
      <c r="Y36" s="126"/>
      <c r="Z36" s="101" t="s">
        <v>144</v>
      </c>
    </row>
    <row r="37" spans="2:26" x14ac:dyDescent="0.25">
      <c r="B37" s="101" t="s">
        <v>301</v>
      </c>
      <c r="C37" s="110" t="s">
        <v>2</v>
      </c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7"/>
      <c r="Q37" s="111" t="s">
        <v>147</v>
      </c>
      <c r="R37" s="107"/>
      <c r="S37" s="107"/>
      <c r="T37" s="107"/>
      <c r="U37" s="107">
        <v>33</v>
      </c>
      <c r="V37" s="107" t="s">
        <v>3</v>
      </c>
      <c r="X37" s="101">
        <f>PrivAPI</f>
        <v>140</v>
      </c>
      <c r="Y37" s="126"/>
      <c r="Z37" s="101" t="s">
        <v>153</v>
      </c>
    </row>
    <row r="38" spans="2:26" hidden="1" x14ac:dyDescent="0.25">
      <c r="B38" s="101" t="s">
        <v>3</v>
      </c>
      <c r="C38" s="110" t="s">
        <v>2</v>
      </c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7"/>
      <c r="Q38" s="111" t="s">
        <v>147</v>
      </c>
      <c r="R38" s="107"/>
      <c r="S38" s="107"/>
      <c r="T38" s="107"/>
      <c r="U38" s="107">
        <v>34</v>
      </c>
      <c r="V38" s="107" t="s">
        <v>3</v>
      </c>
      <c r="X38" s="101">
        <f>Storage</f>
        <v>170</v>
      </c>
      <c r="Y38" s="126"/>
      <c r="Z38" s="101" t="s">
        <v>153</v>
      </c>
    </row>
    <row r="39" spans="2:26" hidden="1" x14ac:dyDescent="0.25">
      <c r="B39" s="101" t="s">
        <v>3</v>
      </c>
      <c r="C39" s="110" t="s">
        <v>2</v>
      </c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7"/>
      <c r="Q39" s="111" t="s">
        <v>147</v>
      </c>
      <c r="R39" s="107"/>
      <c r="S39" s="107"/>
      <c r="T39" s="107"/>
      <c r="U39" s="107">
        <v>35</v>
      </c>
      <c r="V39" s="107" t="s">
        <v>3</v>
      </c>
      <c r="X39" s="101">
        <f>CephCluster</f>
        <v>180</v>
      </c>
      <c r="Y39" s="126"/>
      <c r="Z39" s="101" t="s">
        <v>153</v>
      </c>
    </row>
    <row r="40" spans="2:26" hidden="1" x14ac:dyDescent="0.25">
      <c r="B40" s="101" t="s">
        <v>3</v>
      </c>
      <c r="C40" s="110" t="s">
        <v>2</v>
      </c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7"/>
      <c r="Q40" s="111" t="s">
        <v>147</v>
      </c>
      <c r="R40" s="107"/>
      <c r="S40" s="107"/>
      <c r="T40" s="107"/>
      <c r="U40" s="107">
        <v>36</v>
      </c>
      <c r="V40" s="107" t="s">
        <v>3</v>
      </c>
      <c r="X40" s="101">
        <f>ExtAPI</f>
        <v>1221</v>
      </c>
      <c r="Y40" s="126"/>
      <c r="Z40" s="101" t="s">
        <v>20</v>
      </c>
    </row>
    <row r="41" spans="2:26" x14ac:dyDescent="0.25">
      <c r="B41" s="101" t="s">
        <v>302</v>
      </c>
      <c r="C41" s="110" t="s">
        <v>2</v>
      </c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  <c r="O41" s="105"/>
      <c r="P41" s="107"/>
      <c r="Q41" s="111" t="s">
        <v>147</v>
      </c>
      <c r="R41" s="107"/>
      <c r="S41" s="107"/>
      <c r="T41" s="107"/>
      <c r="U41" s="107">
        <v>37</v>
      </c>
      <c r="V41" s="107" t="s">
        <v>3</v>
      </c>
      <c r="X41" s="101" t="str">
        <f>CONCATENATE(TenantBeg,"-",TenantEnd)</f>
        <v>201-250</v>
      </c>
      <c r="Y41" s="126"/>
      <c r="Z41" s="101" t="s">
        <v>153</v>
      </c>
    </row>
    <row r="42" spans="2:26" hidden="1" x14ac:dyDescent="0.25">
      <c r="B42" s="101" t="s">
        <v>3</v>
      </c>
      <c r="C42" s="110" t="s">
        <v>2</v>
      </c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7"/>
      <c r="Q42" s="111" t="s">
        <v>147</v>
      </c>
      <c r="R42" s="107"/>
      <c r="S42" s="107"/>
      <c r="T42" s="107"/>
      <c r="U42" s="107">
        <v>38</v>
      </c>
      <c r="V42" s="107" t="s">
        <v>3</v>
      </c>
    </row>
    <row r="43" spans="2:26" hidden="1" x14ac:dyDescent="0.25">
      <c r="B43" s="101" t="s">
        <v>3</v>
      </c>
      <c r="C43" s="110" t="s">
        <v>2</v>
      </c>
      <c r="D43" s="105"/>
      <c r="E43" s="105"/>
      <c r="F43" s="105"/>
      <c r="G43" s="105"/>
      <c r="H43" s="105"/>
      <c r="I43" s="105"/>
      <c r="J43" s="105"/>
      <c r="K43" s="105"/>
      <c r="L43" s="105"/>
      <c r="M43" s="105"/>
      <c r="N43" s="105"/>
      <c r="O43" s="105"/>
      <c r="P43" s="107"/>
      <c r="Q43" s="111" t="s">
        <v>147</v>
      </c>
      <c r="R43" s="107"/>
      <c r="S43" s="107"/>
      <c r="T43" s="107"/>
      <c r="U43" s="107">
        <v>39</v>
      </c>
      <c r="V43" s="107" t="s">
        <v>3</v>
      </c>
      <c r="X43" s="147" t="s">
        <v>26</v>
      </c>
      <c r="Y43" s="148"/>
      <c r="Z43" s="125"/>
    </row>
    <row r="44" spans="2:26" hidden="1" x14ac:dyDescent="0.25">
      <c r="B44" s="101" t="s">
        <v>3</v>
      </c>
      <c r="C44" s="110" t="s">
        <v>2</v>
      </c>
      <c r="D44" s="105"/>
      <c r="E44" s="105"/>
      <c r="F44" s="105"/>
      <c r="G44" s="105"/>
      <c r="H44" s="105"/>
      <c r="I44" s="105"/>
      <c r="J44" s="105"/>
      <c r="K44" s="105"/>
      <c r="L44" s="105"/>
      <c r="M44" s="105"/>
      <c r="N44" s="105"/>
      <c r="O44" s="105"/>
      <c r="P44" s="107"/>
      <c r="Q44" s="111" t="s">
        <v>147</v>
      </c>
      <c r="R44" s="107"/>
      <c r="S44" s="107"/>
      <c r="T44" s="107"/>
      <c r="U44" s="107">
        <v>40</v>
      </c>
      <c r="V44" s="107" t="s">
        <v>3</v>
      </c>
      <c r="X44" s="101" t="s">
        <v>12</v>
      </c>
      <c r="Y44" s="101" t="s">
        <v>5</v>
      </c>
      <c r="Z44" s="101" t="s">
        <v>143</v>
      </c>
    </row>
    <row r="45" spans="2:26" x14ac:dyDescent="0.25">
      <c r="B45" s="101" t="s">
        <v>303</v>
      </c>
      <c r="C45" s="110" t="s">
        <v>2</v>
      </c>
      <c r="D45" s="105"/>
      <c r="E45" s="105"/>
      <c r="F45" s="105"/>
      <c r="G45" s="105"/>
      <c r="H45" s="105"/>
      <c r="I45" s="105"/>
      <c r="J45" s="105"/>
      <c r="K45" s="105"/>
      <c r="L45" s="105"/>
      <c r="M45" s="105"/>
      <c r="N45" s="105"/>
      <c r="O45" s="105"/>
      <c r="P45" s="107"/>
      <c r="Q45" s="111" t="s">
        <v>147</v>
      </c>
      <c r="R45" s="107"/>
      <c r="S45" s="107"/>
      <c r="T45" s="107"/>
      <c r="U45" s="107">
        <v>41</v>
      </c>
      <c r="V45" s="107" t="s">
        <v>3</v>
      </c>
      <c r="X45" s="101" t="s">
        <v>27</v>
      </c>
    </row>
    <row r="46" spans="2:26" hidden="1" x14ac:dyDescent="0.25">
      <c r="B46" s="101" t="s">
        <v>3</v>
      </c>
      <c r="C46" s="110" t="s">
        <v>2</v>
      </c>
      <c r="D46" s="105"/>
      <c r="E46" s="105"/>
      <c r="F46" s="105"/>
      <c r="G46" s="105"/>
      <c r="H46" s="105"/>
      <c r="I46" s="105"/>
      <c r="J46" s="105"/>
      <c r="K46" s="105"/>
      <c r="L46" s="105"/>
      <c r="M46" s="105"/>
      <c r="N46" s="105"/>
      <c r="O46" s="105"/>
      <c r="P46" s="107"/>
      <c r="Q46" s="111" t="s">
        <v>147</v>
      </c>
      <c r="R46" s="107"/>
      <c r="S46" s="107"/>
      <c r="T46" s="107"/>
      <c r="U46" s="107">
        <v>42</v>
      </c>
      <c r="V46" s="107" t="s">
        <v>3</v>
      </c>
    </row>
    <row r="47" spans="2:26" hidden="1" x14ac:dyDescent="0.25">
      <c r="B47" s="101" t="s">
        <v>3</v>
      </c>
      <c r="C47" s="110" t="s">
        <v>2</v>
      </c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107"/>
      <c r="Q47" s="111" t="s">
        <v>147</v>
      </c>
      <c r="R47" s="107"/>
      <c r="S47" s="107"/>
      <c r="T47" s="107"/>
      <c r="U47" s="107">
        <v>43</v>
      </c>
      <c r="V47" s="107" t="s">
        <v>3</v>
      </c>
    </row>
    <row r="48" spans="2:26" hidden="1" x14ac:dyDescent="0.25">
      <c r="B48" s="101" t="s">
        <v>3</v>
      </c>
      <c r="C48" s="110" t="s">
        <v>2</v>
      </c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105"/>
      <c r="P48" s="107"/>
      <c r="Q48" s="111" t="s">
        <v>147</v>
      </c>
      <c r="R48" s="107"/>
      <c r="S48" s="107"/>
      <c r="T48" s="107"/>
      <c r="U48" s="107">
        <v>44</v>
      </c>
      <c r="V48" s="107" t="s">
        <v>3</v>
      </c>
    </row>
    <row r="49" spans="2:26" ht="15.75" customHeight="1" x14ac:dyDescent="0.25">
      <c r="B49" s="101" t="s">
        <v>304</v>
      </c>
      <c r="C49" s="110" t="s">
        <v>2</v>
      </c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  <c r="P49" s="107"/>
      <c r="Q49" s="111" t="s">
        <v>147</v>
      </c>
      <c r="R49" s="107"/>
      <c r="S49" s="107"/>
      <c r="T49" s="107"/>
      <c r="U49" s="107">
        <v>45</v>
      </c>
      <c r="V49" s="107" t="s">
        <v>3</v>
      </c>
      <c r="X49" s="143" t="s">
        <v>192</v>
      </c>
      <c r="Y49" s="143"/>
      <c r="Z49" s="143"/>
    </row>
    <row r="50" spans="2:26" ht="15.75" hidden="1" customHeight="1" x14ac:dyDescent="0.25">
      <c r="B50" s="101" t="s">
        <v>3</v>
      </c>
      <c r="C50" s="110" t="s">
        <v>2</v>
      </c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05"/>
      <c r="P50" s="107"/>
      <c r="Q50" s="111" t="s">
        <v>147</v>
      </c>
      <c r="R50" s="107"/>
      <c r="S50" s="107"/>
      <c r="T50" s="107"/>
      <c r="U50" s="107">
        <v>46</v>
      </c>
      <c r="V50" s="107" t="s">
        <v>3</v>
      </c>
      <c r="X50" s="143"/>
      <c r="Y50" s="143"/>
      <c r="Z50" s="143"/>
    </row>
    <row r="51" spans="2:26" ht="15.75" hidden="1" customHeight="1" x14ac:dyDescent="0.25">
      <c r="B51" s="101" t="s">
        <v>3</v>
      </c>
      <c r="C51" s="110" t="s">
        <v>2</v>
      </c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7"/>
      <c r="Q51" s="111" t="s">
        <v>147</v>
      </c>
      <c r="R51" s="107"/>
      <c r="S51" s="107"/>
      <c r="T51" s="107"/>
      <c r="U51" s="107">
        <v>47</v>
      </c>
      <c r="V51" s="107" t="s">
        <v>3</v>
      </c>
      <c r="X51" s="143"/>
      <c r="Y51" s="143"/>
      <c r="Z51" s="143"/>
    </row>
    <row r="52" spans="2:26" ht="15.75" hidden="1" customHeight="1" x14ac:dyDescent="0.25">
      <c r="B52" s="101" t="s">
        <v>3</v>
      </c>
      <c r="C52" s="110" t="s">
        <v>2</v>
      </c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5"/>
      <c r="O52" s="105"/>
      <c r="P52" s="107"/>
      <c r="Q52" s="111" t="s">
        <v>147</v>
      </c>
      <c r="R52" s="107"/>
      <c r="S52" s="107"/>
      <c r="T52" s="107"/>
      <c r="U52" s="107">
        <v>48</v>
      </c>
      <c r="V52" s="107" t="s">
        <v>3</v>
      </c>
      <c r="X52" s="143"/>
      <c r="Y52" s="143"/>
      <c r="Z52" s="143"/>
    </row>
    <row r="53" spans="2:26" x14ac:dyDescent="0.25">
      <c r="B53" s="101" t="s">
        <v>284</v>
      </c>
      <c r="C53" s="110" t="s">
        <v>242</v>
      </c>
      <c r="D53" s="110" t="s">
        <v>145</v>
      </c>
      <c r="E53" s="105" t="s">
        <v>260</v>
      </c>
      <c r="F53" s="105"/>
      <c r="G53" s="105"/>
      <c r="H53" s="105"/>
      <c r="I53" s="105"/>
      <c r="J53" s="105" t="s">
        <v>237</v>
      </c>
      <c r="K53" s="105" t="s">
        <v>237</v>
      </c>
      <c r="L53" s="105"/>
      <c r="M53" s="105"/>
      <c r="N53" s="105"/>
      <c r="O53" s="105"/>
      <c r="P53" s="107" t="s">
        <v>188</v>
      </c>
      <c r="Q53" s="111" t="s">
        <v>160</v>
      </c>
      <c r="R53" s="111" t="s">
        <v>162</v>
      </c>
      <c r="S53" s="111">
        <v>9216</v>
      </c>
      <c r="T53" s="111" t="s">
        <v>161</v>
      </c>
      <c r="U53" s="107">
        <v>49</v>
      </c>
      <c r="V53" s="107" t="s">
        <v>4</v>
      </c>
      <c r="X53" s="143"/>
      <c r="Y53" s="143"/>
      <c r="Z53" s="143"/>
    </row>
    <row r="54" spans="2:26" x14ac:dyDescent="0.25">
      <c r="B54" s="101" t="s">
        <v>285</v>
      </c>
      <c r="C54" s="110" t="s">
        <v>242</v>
      </c>
      <c r="D54" s="110" t="s">
        <v>246</v>
      </c>
      <c r="E54" s="105" t="s">
        <v>260</v>
      </c>
      <c r="F54" s="107"/>
      <c r="G54" s="107"/>
      <c r="H54" s="107"/>
      <c r="I54" s="107"/>
      <c r="J54" s="107" t="s">
        <v>237</v>
      </c>
      <c r="K54" s="107" t="s">
        <v>237</v>
      </c>
      <c r="L54" s="107"/>
      <c r="M54" s="107"/>
      <c r="N54" s="107"/>
      <c r="O54" s="105"/>
      <c r="P54" s="107" t="s">
        <v>188</v>
      </c>
      <c r="Q54" s="111" t="s">
        <v>160</v>
      </c>
      <c r="R54" s="111" t="s">
        <v>162</v>
      </c>
      <c r="S54" s="111">
        <v>9216</v>
      </c>
      <c r="T54" s="111" t="s">
        <v>161</v>
      </c>
      <c r="U54" s="107">
        <v>50</v>
      </c>
      <c r="V54" s="107" t="s">
        <v>4</v>
      </c>
      <c r="X54" s="143"/>
      <c r="Y54" s="143"/>
      <c r="Z54" s="143"/>
    </row>
    <row r="55" spans="2:26" x14ac:dyDescent="0.25">
      <c r="B55" s="101" t="s">
        <v>286</v>
      </c>
      <c r="C55" s="110" t="s">
        <v>242</v>
      </c>
      <c r="D55" s="110" t="s">
        <v>247</v>
      </c>
      <c r="E55" s="105" t="s">
        <v>260</v>
      </c>
      <c r="F55" s="107"/>
      <c r="G55" s="107"/>
      <c r="H55" s="107"/>
      <c r="I55" s="107"/>
      <c r="J55" s="107" t="s">
        <v>237</v>
      </c>
      <c r="K55" s="107" t="s">
        <v>237</v>
      </c>
      <c r="L55" s="107"/>
      <c r="M55" s="107"/>
      <c r="N55" s="107"/>
      <c r="O55" s="105"/>
      <c r="P55" s="107" t="s">
        <v>188</v>
      </c>
      <c r="Q55" s="111" t="s">
        <v>160</v>
      </c>
      <c r="R55" s="111" t="s">
        <v>162</v>
      </c>
      <c r="S55" s="111">
        <v>9216</v>
      </c>
      <c r="T55" s="111" t="s">
        <v>161</v>
      </c>
      <c r="U55" s="107">
        <v>51</v>
      </c>
      <c r="V55" s="107" t="s">
        <v>4</v>
      </c>
      <c r="X55" s="143"/>
      <c r="Y55" s="143"/>
      <c r="Z55" s="143"/>
    </row>
    <row r="56" spans="2:26" x14ac:dyDescent="0.25">
      <c r="B56" s="101" t="s">
        <v>287</v>
      </c>
      <c r="C56" s="110" t="s">
        <v>242</v>
      </c>
      <c r="D56" s="110" t="s">
        <v>248</v>
      </c>
      <c r="E56" s="105" t="s">
        <v>260</v>
      </c>
      <c r="F56" s="107"/>
      <c r="G56" s="107"/>
      <c r="H56" s="107"/>
      <c r="I56" s="107"/>
      <c r="J56" s="107" t="s">
        <v>237</v>
      </c>
      <c r="K56" s="107" t="s">
        <v>237</v>
      </c>
      <c r="L56" s="107"/>
      <c r="M56" s="107"/>
      <c r="N56" s="107"/>
      <c r="O56" s="105"/>
      <c r="P56" s="107" t="s">
        <v>188</v>
      </c>
      <c r="Q56" s="111" t="s">
        <v>160</v>
      </c>
      <c r="R56" s="111" t="s">
        <v>162</v>
      </c>
      <c r="S56" s="111">
        <v>9216</v>
      </c>
      <c r="T56" s="111" t="s">
        <v>161</v>
      </c>
      <c r="U56" s="107">
        <v>52</v>
      </c>
      <c r="V56" s="107" t="s">
        <v>4</v>
      </c>
    </row>
    <row r="57" spans="2:26" x14ac:dyDescent="0.25">
      <c r="B57" s="101" t="s">
        <v>288</v>
      </c>
      <c r="C57" s="110" t="s">
        <v>242</v>
      </c>
      <c r="D57" s="105" t="s">
        <v>243</v>
      </c>
      <c r="E57" s="105" t="s">
        <v>260</v>
      </c>
      <c r="F57" s="105"/>
      <c r="G57" s="105"/>
      <c r="H57" s="105" t="s">
        <v>237</v>
      </c>
      <c r="I57" s="105"/>
      <c r="J57" s="105"/>
      <c r="K57" s="105"/>
      <c r="L57" s="105"/>
      <c r="M57" s="105"/>
      <c r="N57" s="105"/>
      <c r="O57" s="105"/>
      <c r="P57" s="107" t="s">
        <v>188</v>
      </c>
      <c r="Q57" s="111" t="s">
        <v>160</v>
      </c>
      <c r="R57" s="111" t="s">
        <v>162</v>
      </c>
      <c r="S57" s="111">
        <v>9216</v>
      </c>
      <c r="T57" s="111" t="s">
        <v>161</v>
      </c>
      <c r="U57" s="107">
        <v>53</v>
      </c>
      <c r="V57" s="107" t="s">
        <v>4</v>
      </c>
    </row>
    <row r="58" spans="2:26" x14ac:dyDescent="0.25">
      <c r="B58" s="101" t="s">
        <v>289</v>
      </c>
      <c r="C58" s="110" t="s">
        <v>242</v>
      </c>
      <c r="D58" s="105" t="s">
        <v>244</v>
      </c>
      <c r="E58" s="105" t="s">
        <v>260</v>
      </c>
      <c r="F58" s="105"/>
      <c r="G58" s="105"/>
      <c r="H58" s="105" t="s">
        <v>237</v>
      </c>
      <c r="I58" s="105"/>
      <c r="J58" s="105"/>
      <c r="K58" s="105"/>
      <c r="L58" s="105"/>
      <c r="M58" s="105"/>
      <c r="N58" s="105"/>
      <c r="O58" s="105"/>
      <c r="P58" s="107" t="s">
        <v>188</v>
      </c>
      <c r="Q58" s="111" t="s">
        <v>160</v>
      </c>
      <c r="R58" s="111" t="s">
        <v>162</v>
      </c>
      <c r="S58" s="111">
        <v>9216</v>
      </c>
      <c r="T58" s="111" t="s">
        <v>161</v>
      </c>
      <c r="U58" s="107">
        <v>54</v>
      </c>
      <c r="V58" s="107" t="s">
        <v>4</v>
      </c>
    </row>
    <row r="59" spans="2:26" x14ac:dyDescent="0.25">
      <c r="B59" s="101" t="s">
        <v>290</v>
      </c>
      <c r="C59" s="110" t="s">
        <v>242</v>
      </c>
      <c r="D59" s="105" t="s">
        <v>245</v>
      </c>
      <c r="E59" s="105" t="s">
        <v>260</v>
      </c>
      <c r="F59" s="105"/>
      <c r="G59" s="105"/>
      <c r="H59" s="105" t="s">
        <v>237</v>
      </c>
      <c r="I59" s="105"/>
      <c r="J59" s="105"/>
      <c r="K59" s="105"/>
      <c r="L59" s="105"/>
      <c r="M59" s="105"/>
      <c r="N59" s="105"/>
      <c r="O59" s="105"/>
      <c r="P59" s="107" t="s">
        <v>188</v>
      </c>
      <c r="Q59" s="111" t="s">
        <v>160</v>
      </c>
      <c r="R59" s="111" t="s">
        <v>162</v>
      </c>
      <c r="S59" s="111">
        <v>9216</v>
      </c>
      <c r="T59" s="111" t="s">
        <v>161</v>
      </c>
      <c r="U59" s="107">
        <v>55</v>
      </c>
      <c r="V59" s="107" t="s">
        <v>4</v>
      </c>
    </row>
    <row r="60" spans="2:26" x14ac:dyDescent="0.25">
      <c r="B60" s="101" t="s">
        <v>291</v>
      </c>
      <c r="C60" s="110" t="s">
        <v>2</v>
      </c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  <c r="Q60" s="111" t="s">
        <v>147</v>
      </c>
      <c r="U60" s="107">
        <v>56</v>
      </c>
      <c r="V60" s="107" t="s">
        <v>3</v>
      </c>
    </row>
    <row r="61" spans="2:26" x14ac:dyDescent="0.25">
      <c r="B61" s="101" t="s">
        <v>305</v>
      </c>
      <c r="C61" s="110" t="s">
        <v>2</v>
      </c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  <c r="Q61" s="111" t="s">
        <v>147</v>
      </c>
      <c r="U61" s="107">
        <v>57</v>
      </c>
      <c r="V61" s="107" t="s">
        <v>3</v>
      </c>
    </row>
    <row r="62" spans="2:26" hidden="1" x14ac:dyDescent="0.25">
      <c r="B62" s="101" t="s">
        <v>3</v>
      </c>
      <c r="C62" s="110" t="s">
        <v>2</v>
      </c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  <c r="Q62" s="111" t="s">
        <v>147</v>
      </c>
      <c r="U62" s="107">
        <v>58</v>
      </c>
      <c r="V62" s="107" t="s">
        <v>3</v>
      </c>
    </row>
    <row r="63" spans="2:26" hidden="1" x14ac:dyDescent="0.25">
      <c r="B63" s="101" t="s">
        <v>3</v>
      </c>
      <c r="C63" s="110" t="s">
        <v>2</v>
      </c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05"/>
      <c r="Q63" s="111" t="s">
        <v>147</v>
      </c>
      <c r="U63" s="107">
        <v>59</v>
      </c>
      <c r="V63" s="107" t="s">
        <v>3</v>
      </c>
    </row>
    <row r="64" spans="2:26" hidden="1" x14ac:dyDescent="0.25">
      <c r="B64" s="101" t="s">
        <v>3</v>
      </c>
      <c r="C64" s="110" t="s">
        <v>2</v>
      </c>
      <c r="D64" s="105"/>
      <c r="E64" s="105"/>
      <c r="F64" s="105"/>
      <c r="G64" s="105"/>
      <c r="H64" s="105"/>
      <c r="I64" s="105"/>
      <c r="J64" s="105"/>
      <c r="K64" s="105"/>
      <c r="L64" s="105"/>
      <c r="M64" s="105"/>
      <c r="N64" s="105"/>
      <c r="O64" s="105"/>
      <c r="Q64" s="111" t="s">
        <v>147</v>
      </c>
      <c r="U64" s="107">
        <v>60</v>
      </c>
      <c r="V64" s="107" t="s">
        <v>3</v>
      </c>
    </row>
    <row r="65" spans="2:22" x14ac:dyDescent="0.25">
      <c r="B65" s="101" t="s">
        <v>306</v>
      </c>
      <c r="C65" s="110" t="s">
        <v>2</v>
      </c>
      <c r="D65" s="105"/>
      <c r="E65" s="105"/>
      <c r="F65" s="105"/>
      <c r="G65" s="105"/>
      <c r="H65" s="105"/>
      <c r="I65" s="105"/>
      <c r="J65" s="105"/>
      <c r="K65" s="105"/>
      <c r="L65" s="105"/>
      <c r="M65" s="105"/>
      <c r="N65" s="105"/>
      <c r="O65" s="105"/>
      <c r="Q65" s="111" t="s">
        <v>147</v>
      </c>
      <c r="U65" s="107">
        <v>61</v>
      </c>
      <c r="V65" s="107" t="s">
        <v>3</v>
      </c>
    </row>
    <row r="66" spans="2:22" hidden="1" x14ac:dyDescent="0.25">
      <c r="B66" s="101" t="s">
        <v>3</v>
      </c>
      <c r="C66" s="110" t="s">
        <v>2</v>
      </c>
      <c r="D66" s="105"/>
      <c r="E66" s="105"/>
      <c r="F66" s="105"/>
      <c r="G66" s="105"/>
      <c r="H66" s="105"/>
      <c r="I66" s="105"/>
      <c r="J66" s="105"/>
      <c r="K66" s="105"/>
      <c r="L66" s="105"/>
      <c r="M66" s="105"/>
      <c r="N66" s="105"/>
      <c r="O66" s="105"/>
      <c r="Q66" s="111" t="s">
        <v>147</v>
      </c>
      <c r="U66" s="107">
        <v>62</v>
      </c>
      <c r="V66" s="107" t="s">
        <v>3</v>
      </c>
    </row>
    <row r="67" spans="2:22" hidden="1" x14ac:dyDescent="0.25">
      <c r="B67" s="101" t="s">
        <v>3</v>
      </c>
      <c r="C67" s="110" t="s">
        <v>2</v>
      </c>
      <c r="D67" s="105"/>
      <c r="E67" s="105"/>
      <c r="F67" s="105"/>
      <c r="G67" s="105"/>
      <c r="H67" s="105"/>
      <c r="I67" s="105"/>
      <c r="J67" s="105"/>
      <c r="K67" s="105"/>
      <c r="L67" s="105"/>
      <c r="M67" s="105"/>
      <c r="N67" s="105"/>
      <c r="O67" s="105"/>
      <c r="Q67" s="111" t="s">
        <v>147</v>
      </c>
      <c r="U67" s="107">
        <v>63</v>
      </c>
      <c r="V67" s="107" t="s">
        <v>3</v>
      </c>
    </row>
    <row r="68" spans="2:22" hidden="1" x14ac:dyDescent="0.25">
      <c r="B68" s="101" t="s">
        <v>3</v>
      </c>
      <c r="C68" s="110" t="s">
        <v>2</v>
      </c>
      <c r="D68" s="105"/>
      <c r="E68" s="105"/>
      <c r="F68" s="105"/>
      <c r="G68" s="105"/>
      <c r="H68" s="105"/>
      <c r="I68" s="105"/>
      <c r="J68" s="105"/>
      <c r="K68" s="105"/>
      <c r="L68" s="105"/>
      <c r="M68" s="105"/>
      <c r="N68" s="105"/>
      <c r="O68" s="105"/>
      <c r="P68" s="107"/>
      <c r="Q68" s="111" t="s">
        <v>147</v>
      </c>
      <c r="R68" s="107"/>
      <c r="S68" s="107"/>
      <c r="T68" s="107"/>
      <c r="U68" s="107">
        <v>64</v>
      </c>
      <c r="V68" s="107" t="s">
        <v>3</v>
      </c>
    </row>
    <row r="69" spans="2:22" x14ac:dyDescent="0.25">
      <c r="B69" s="101" t="s">
        <v>292</v>
      </c>
      <c r="C69" s="110" t="s">
        <v>242</v>
      </c>
      <c r="D69" s="105" t="s">
        <v>139</v>
      </c>
      <c r="E69" s="105" t="s">
        <v>260</v>
      </c>
      <c r="F69" s="105"/>
      <c r="G69" s="105"/>
      <c r="H69" s="105"/>
      <c r="I69" s="105" t="s">
        <v>237</v>
      </c>
      <c r="J69" s="105"/>
      <c r="K69" s="105"/>
      <c r="L69" s="105"/>
      <c r="M69" s="105"/>
      <c r="N69" s="105"/>
      <c r="O69" s="105"/>
      <c r="P69" s="107" t="s">
        <v>188</v>
      </c>
      <c r="Q69" s="111" t="s">
        <v>160</v>
      </c>
      <c r="R69" s="111" t="s">
        <v>162</v>
      </c>
      <c r="S69" s="111">
        <v>9216</v>
      </c>
      <c r="T69" s="111" t="s">
        <v>161</v>
      </c>
      <c r="U69" s="107">
        <v>65</v>
      </c>
      <c r="V69" s="107" t="s">
        <v>4</v>
      </c>
    </row>
    <row r="70" spans="2:22" x14ac:dyDescent="0.25">
      <c r="B70" s="101" t="s">
        <v>293</v>
      </c>
      <c r="C70" s="110" t="s">
        <v>242</v>
      </c>
      <c r="D70" s="105" t="s">
        <v>140</v>
      </c>
      <c r="E70" s="105" t="s">
        <v>260</v>
      </c>
      <c r="F70" s="105"/>
      <c r="G70" s="105"/>
      <c r="H70" s="105"/>
      <c r="I70" s="105" t="s">
        <v>237</v>
      </c>
      <c r="J70" s="105"/>
      <c r="K70" s="105"/>
      <c r="L70" s="105"/>
      <c r="M70" s="105"/>
      <c r="N70" s="105"/>
      <c r="O70" s="105"/>
      <c r="P70" s="107" t="s">
        <v>188</v>
      </c>
      <c r="Q70" s="111" t="s">
        <v>160</v>
      </c>
      <c r="R70" s="111" t="s">
        <v>162</v>
      </c>
      <c r="S70" s="111">
        <v>9216</v>
      </c>
      <c r="T70" s="111" t="s">
        <v>161</v>
      </c>
      <c r="U70" s="107">
        <v>66</v>
      </c>
      <c r="V70" s="107" t="s">
        <v>4</v>
      </c>
    </row>
    <row r="71" spans="2:22" x14ac:dyDescent="0.25">
      <c r="B71" s="101" t="s">
        <v>294</v>
      </c>
      <c r="C71" s="110" t="s">
        <v>242</v>
      </c>
      <c r="D71" s="105" t="s">
        <v>249</v>
      </c>
      <c r="E71" s="105" t="s">
        <v>260</v>
      </c>
      <c r="F71" s="105"/>
      <c r="G71" s="105"/>
      <c r="H71" s="105"/>
      <c r="I71" s="105" t="s">
        <v>237</v>
      </c>
      <c r="J71" s="105"/>
      <c r="K71" s="105"/>
      <c r="L71" s="105"/>
      <c r="M71" s="105"/>
      <c r="N71" s="105"/>
      <c r="O71" s="105"/>
      <c r="P71" s="107" t="s">
        <v>188</v>
      </c>
      <c r="Q71" s="111" t="s">
        <v>160</v>
      </c>
      <c r="R71" s="111" t="s">
        <v>162</v>
      </c>
      <c r="S71" s="111">
        <v>9216</v>
      </c>
      <c r="T71" s="111" t="s">
        <v>161</v>
      </c>
      <c r="U71" s="107">
        <v>67</v>
      </c>
      <c r="V71" s="107" t="s">
        <v>4</v>
      </c>
    </row>
    <row r="72" spans="2:22" x14ac:dyDescent="0.25">
      <c r="B72" s="101" t="s">
        <v>295</v>
      </c>
      <c r="C72" s="110" t="s">
        <v>2</v>
      </c>
      <c r="D72" s="105"/>
      <c r="E72" s="105"/>
      <c r="F72" s="105"/>
      <c r="G72" s="105"/>
      <c r="H72" s="105"/>
      <c r="I72" s="105"/>
      <c r="J72" s="105"/>
      <c r="K72" s="105"/>
      <c r="L72" s="105"/>
      <c r="M72" s="105"/>
      <c r="N72" s="105"/>
      <c r="O72" s="105"/>
      <c r="Q72" s="111" t="s">
        <v>147</v>
      </c>
      <c r="U72" s="107">
        <v>68</v>
      </c>
      <c r="V72" s="107" t="s">
        <v>3</v>
      </c>
    </row>
    <row r="73" spans="2:22" x14ac:dyDescent="0.25">
      <c r="B73" s="101" t="s">
        <v>307</v>
      </c>
      <c r="C73" s="110" t="s">
        <v>2</v>
      </c>
      <c r="D73" s="105"/>
      <c r="E73" s="105"/>
      <c r="F73" s="105"/>
      <c r="G73" s="105"/>
      <c r="H73" s="105"/>
      <c r="I73" s="105"/>
      <c r="J73" s="105"/>
      <c r="K73" s="105"/>
      <c r="L73" s="105"/>
      <c r="M73" s="105"/>
      <c r="N73" s="105"/>
      <c r="O73" s="105"/>
      <c r="Q73" s="111" t="s">
        <v>147</v>
      </c>
      <c r="U73" s="107">
        <v>69</v>
      </c>
      <c r="V73" s="107" t="s">
        <v>3</v>
      </c>
    </row>
    <row r="74" spans="2:22" hidden="1" x14ac:dyDescent="0.25">
      <c r="B74" s="101" t="s">
        <v>3</v>
      </c>
      <c r="C74" s="110" t="s">
        <v>2</v>
      </c>
      <c r="D74" s="105"/>
      <c r="E74" s="105"/>
      <c r="F74" s="105"/>
      <c r="G74" s="105"/>
      <c r="H74" s="105"/>
      <c r="I74" s="105"/>
      <c r="J74" s="105"/>
      <c r="K74" s="105"/>
      <c r="L74" s="105"/>
      <c r="M74" s="105"/>
      <c r="N74" s="105"/>
      <c r="O74" s="105"/>
      <c r="Q74" s="111" t="s">
        <v>147</v>
      </c>
      <c r="U74" s="107">
        <v>70</v>
      </c>
      <c r="V74" s="107" t="s">
        <v>3</v>
      </c>
    </row>
    <row r="75" spans="2:22" hidden="1" x14ac:dyDescent="0.25">
      <c r="B75" s="101" t="s">
        <v>3</v>
      </c>
      <c r="C75" s="110" t="s">
        <v>2</v>
      </c>
      <c r="D75" s="105"/>
      <c r="E75" s="105"/>
      <c r="F75" s="105"/>
      <c r="G75" s="105"/>
      <c r="H75" s="105"/>
      <c r="I75" s="105"/>
      <c r="J75" s="105"/>
      <c r="K75" s="105"/>
      <c r="L75" s="105"/>
      <c r="M75" s="105"/>
      <c r="N75" s="105"/>
      <c r="O75" s="105"/>
      <c r="Q75" s="111" t="s">
        <v>147</v>
      </c>
      <c r="U75" s="107">
        <v>71</v>
      </c>
      <c r="V75" s="107" t="s">
        <v>3</v>
      </c>
    </row>
    <row r="76" spans="2:22" hidden="1" x14ac:dyDescent="0.25">
      <c r="B76" s="101" t="s">
        <v>3</v>
      </c>
      <c r="C76" s="110" t="s">
        <v>2</v>
      </c>
      <c r="D76" s="105"/>
      <c r="E76" s="105"/>
      <c r="F76" s="105"/>
      <c r="G76" s="105"/>
      <c r="H76" s="105"/>
      <c r="I76" s="105"/>
      <c r="J76" s="105"/>
      <c r="K76" s="105"/>
      <c r="L76" s="105"/>
      <c r="M76" s="105"/>
      <c r="N76" s="105"/>
      <c r="O76" s="105"/>
      <c r="Q76" s="111" t="s">
        <v>147</v>
      </c>
      <c r="U76" s="107">
        <v>72</v>
      </c>
      <c r="V76" s="107" t="s">
        <v>3</v>
      </c>
    </row>
    <row r="77" spans="2:22" x14ac:dyDescent="0.25">
      <c r="B77" s="101" t="s">
        <v>308</v>
      </c>
      <c r="C77" s="110" t="s">
        <v>2</v>
      </c>
      <c r="D77" s="105"/>
      <c r="E77" s="105"/>
      <c r="F77" s="105"/>
      <c r="G77" s="105"/>
      <c r="H77" s="105"/>
      <c r="I77" s="105"/>
      <c r="J77" s="105"/>
      <c r="K77" s="105"/>
      <c r="L77" s="105"/>
      <c r="M77" s="105"/>
      <c r="N77" s="105"/>
      <c r="O77" s="105"/>
      <c r="Q77" s="111" t="s">
        <v>147</v>
      </c>
      <c r="U77" s="107">
        <v>73</v>
      </c>
      <c r="V77" s="107" t="s">
        <v>3</v>
      </c>
    </row>
    <row r="78" spans="2:22" hidden="1" x14ac:dyDescent="0.25">
      <c r="B78" s="101" t="s">
        <v>3</v>
      </c>
      <c r="C78" s="110" t="s">
        <v>2</v>
      </c>
      <c r="D78" s="105"/>
      <c r="E78" s="105"/>
      <c r="F78" s="105"/>
      <c r="G78" s="105"/>
      <c r="H78" s="105"/>
      <c r="I78" s="105"/>
      <c r="J78" s="105"/>
      <c r="K78" s="105"/>
      <c r="L78" s="105"/>
      <c r="M78" s="105"/>
      <c r="N78" s="105"/>
      <c r="O78" s="105"/>
      <c r="Q78" s="111" t="s">
        <v>147</v>
      </c>
      <c r="U78" s="107">
        <v>74</v>
      </c>
      <c r="V78" s="107" t="s">
        <v>3</v>
      </c>
    </row>
    <row r="79" spans="2:22" hidden="1" x14ac:dyDescent="0.25">
      <c r="B79" s="101" t="s">
        <v>3</v>
      </c>
      <c r="C79" s="110" t="s">
        <v>2</v>
      </c>
      <c r="D79" s="105"/>
      <c r="E79" s="105"/>
      <c r="F79" s="105"/>
      <c r="G79" s="105"/>
      <c r="H79" s="105"/>
      <c r="I79" s="105"/>
      <c r="J79" s="105"/>
      <c r="K79" s="105"/>
      <c r="L79" s="105"/>
      <c r="M79" s="105"/>
      <c r="N79" s="105"/>
      <c r="O79" s="105"/>
      <c r="Q79" s="111" t="s">
        <v>147</v>
      </c>
      <c r="U79" s="107">
        <v>75</v>
      </c>
      <c r="V79" s="107" t="s">
        <v>3</v>
      </c>
    </row>
    <row r="80" spans="2:22" hidden="1" x14ac:dyDescent="0.25">
      <c r="B80" s="101" t="s">
        <v>3</v>
      </c>
      <c r="C80" s="110" t="s">
        <v>2</v>
      </c>
      <c r="D80" s="105"/>
      <c r="E80" s="105"/>
      <c r="F80" s="105"/>
      <c r="G80" s="105"/>
      <c r="H80" s="105"/>
      <c r="I80" s="105"/>
      <c r="J80" s="105"/>
      <c r="K80" s="105"/>
      <c r="L80" s="105"/>
      <c r="M80" s="105"/>
      <c r="N80" s="105"/>
      <c r="O80" s="105"/>
      <c r="Q80" s="111" t="s">
        <v>147</v>
      </c>
      <c r="U80" s="107">
        <v>76</v>
      </c>
      <c r="V80" s="107" t="s">
        <v>3</v>
      </c>
    </row>
    <row r="81" spans="2:22" x14ac:dyDescent="0.25">
      <c r="B81" s="101" t="s">
        <v>309</v>
      </c>
      <c r="C81" s="110" t="s">
        <v>2</v>
      </c>
      <c r="D81" s="105"/>
      <c r="E81" s="105"/>
      <c r="F81" s="105"/>
      <c r="G81" s="105"/>
      <c r="H81" s="105"/>
      <c r="I81" s="105"/>
      <c r="J81" s="105"/>
      <c r="K81" s="105"/>
      <c r="L81" s="105"/>
      <c r="M81" s="105"/>
      <c r="N81" s="105"/>
      <c r="O81" s="105"/>
      <c r="Q81" s="111" t="s">
        <v>147</v>
      </c>
      <c r="U81" s="107">
        <v>77</v>
      </c>
      <c r="V81" s="107" t="s">
        <v>3</v>
      </c>
    </row>
    <row r="82" spans="2:22" hidden="1" x14ac:dyDescent="0.25">
      <c r="B82" s="101" t="s">
        <v>3</v>
      </c>
      <c r="C82" s="110" t="s">
        <v>2</v>
      </c>
      <c r="D82" s="105"/>
      <c r="E82" s="105"/>
      <c r="F82" s="105"/>
      <c r="G82" s="105"/>
      <c r="H82" s="105"/>
      <c r="I82" s="105"/>
      <c r="J82" s="105"/>
      <c r="K82" s="105"/>
      <c r="L82" s="105"/>
      <c r="M82" s="105"/>
      <c r="N82" s="105"/>
      <c r="O82" s="105"/>
      <c r="Q82" s="111" t="s">
        <v>147</v>
      </c>
      <c r="U82" s="107">
        <v>78</v>
      </c>
      <c r="V82" s="107" t="s">
        <v>3</v>
      </c>
    </row>
    <row r="83" spans="2:22" hidden="1" x14ac:dyDescent="0.25">
      <c r="B83" s="101" t="s">
        <v>3</v>
      </c>
      <c r="C83" s="110" t="s">
        <v>2</v>
      </c>
      <c r="D83" s="105"/>
      <c r="E83" s="105"/>
      <c r="F83" s="105"/>
      <c r="G83" s="105"/>
      <c r="H83" s="105"/>
      <c r="I83" s="105"/>
      <c r="J83" s="105"/>
      <c r="K83" s="105"/>
      <c r="L83" s="105"/>
      <c r="M83" s="105"/>
      <c r="N83" s="105"/>
      <c r="O83" s="105"/>
      <c r="Q83" s="111" t="s">
        <v>147</v>
      </c>
      <c r="U83" s="107">
        <v>79</v>
      </c>
      <c r="V83" s="107" t="s">
        <v>3</v>
      </c>
    </row>
    <row r="84" spans="2:22" hidden="1" x14ac:dyDescent="0.25">
      <c r="B84" s="101" t="s">
        <v>3</v>
      </c>
      <c r="C84" s="110" t="s">
        <v>2</v>
      </c>
      <c r="D84" s="105"/>
      <c r="E84" s="105"/>
      <c r="F84" s="105"/>
      <c r="G84" s="105"/>
      <c r="H84" s="105"/>
      <c r="I84" s="105"/>
      <c r="J84" s="105"/>
      <c r="K84" s="105"/>
      <c r="L84" s="105"/>
      <c r="M84" s="105"/>
      <c r="N84" s="105"/>
      <c r="O84" s="105"/>
      <c r="Q84" s="111" t="s">
        <v>147</v>
      </c>
      <c r="U84" s="107">
        <v>80</v>
      </c>
      <c r="V84" s="107" t="s">
        <v>3</v>
      </c>
    </row>
    <row r="85" spans="2:22" x14ac:dyDescent="0.25">
      <c r="B85" s="101" t="s">
        <v>310</v>
      </c>
      <c r="C85" s="110" t="s">
        <v>2</v>
      </c>
      <c r="D85" s="105"/>
      <c r="E85" s="105"/>
      <c r="F85" s="105"/>
      <c r="G85" s="105"/>
      <c r="H85" s="105"/>
      <c r="I85" s="105"/>
      <c r="J85" s="105"/>
      <c r="K85" s="105"/>
      <c r="L85" s="105"/>
      <c r="M85" s="105"/>
      <c r="N85" s="105"/>
      <c r="O85" s="105"/>
      <c r="Q85" s="111" t="s">
        <v>147</v>
      </c>
      <c r="U85" s="107">
        <v>81</v>
      </c>
      <c r="V85" s="107" t="s">
        <v>3</v>
      </c>
    </row>
    <row r="86" spans="2:22" hidden="1" x14ac:dyDescent="0.25">
      <c r="B86" s="101" t="s">
        <v>3</v>
      </c>
      <c r="C86" s="110" t="s">
        <v>2</v>
      </c>
      <c r="D86" s="105"/>
      <c r="E86" s="105"/>
      <c r="F86" s="105"/>
      <c r="G86" s="105"/>
      <c r="H86" s="105"/>
      <c r="I86" s="105"/>
      <c r="J86" s="105"/>
      <c r="K86" s="105"/>
      <c r="L86" s="105"/>
      <c r="M86" s="105"/>
      <c r="N86" s="105"/>
      <c r="O86" s="105"/>
      <c r="Q86" s="111" t="s">
        <v>147</v>
      </c>
      <c r="U86" s="107">
        <v>82</v>
      </c>
      <c r="V86" s="107" t="s">
        <v>3</v>
      </c>
    </row>
    <row r="87" spans="2:22" hidden="1" x14ac:dyDescent="0.25">
      <c r="B87" s="101" t="s">
        <v>3</v>
      </c>
      <c r="C87" s="110" t="s">
        <v>2</v>
      </c>
      <c r="D87" s="105"/>
      <c r="E87" s="105"/>
      <c r="F87" s="105"/>
      <c r="G87" s="105"/>
      <c r="H87" s="105"/>
      <c r="I87" s="105"/>
      <c r="J87" s="105"/>
      <c r="K87" s="105"/>
      <c r="L87" s="105"/>
      <c r="M87" s="105"/>
      <c r="N87" s="105"/>
      <c r="O87" s="105"/>
      <c r="Q87" s="111" t="s">
        <v>147</v>
      </c>
      <c r="U87" s="107">
        <v>83</v>
      </c>
      <c r="V87" s="107" t="s">
        <v>3</v>
      </c>
    </row>
    <row r="88" spans="2:22" hidden="1" x14ac:dyDescent="0.25">
      <c r="B88" s="101" t="s">
        <v>3</v>
      </c>
      <c r="C88" s="110" t="s">
        <v>2</v>
      </c>
      <c r="D88" s="105"/>
      <c r="E88" s="105"/>
      <c r="F88" s="105"/>
      <c r="G88" s="105"/>
      <c r="H88" s="105"/>
      <c r="I88" s="105"/>
      <c r="J88" s="105"/>
      <c r="K88" s="105"/>
      <c r="L88" s="105"/>
      <c r="M88" s="105"/>
      <c r="N88" s="105"/>
      <c r="O88" s="105"/>
      <c r="Q88" s="111" t="s">
        <v>147</v>
      </c>
      <c r="U88" s="107">
        <v>84</v>
      </c>
      <c r="V88" s="107" t="s">
        <v>3</v>
      </c>
    </row>
    <row r="89" spans="2:22" x14ac:dyDescent="0.25">
      <c r="B89" s="101" t="s">
        <v>311</v>
      </c>
      <c r="C89" s="110" t="s">
        <v>2</v>
      </c>
      <c r="D89" s="105"/>
      <c r="E89" s="105"/>
      <c r="F89" s="105"/>
      <c r="G89" s="105"/>
      <c r="H89" s="105"/>
      <c r="I89" s="105"/>
      <c r="J89" s="105"/>
      <c r="K89" s="105"/>
      <c r="L89" s="105"/>
      <c r="M89" s="105"/>
      <c r="N89" s="105"/>
      <c r="O89" s="105"/>
      <c r="Q89" s="111" t="s">
        <v>147</v>
      </c>
      <c r="U89" s="107">
        <v>85</v>
      </c>
      <c r="V89" s="107" t="s">
        <v>3</v>
      </c>
    </row>
    <row r="90" spans="2:22" hidden="1" x14ac:dyDescent="0.25">
      <c r="B90" s="101" t="s">
        <v>3</v>
      </c>
      <c r="C90" s="110" t="s">
        <v>2</v>
      </c>
      <c r="D90" s="105"/>
      <c r="E90" s="105"/>
      <c r="F90" s="105"/>
      <c r="G90" s="105"/>
      <c r="H90" s="105"/>
      <c r="I90" s="105"/>
      <c r="J90" s="105"/>
      <c r="K90" s="105"/>
      <c r="L90" s="105"/>
      <c r="M90" s="105"/>
      <c r="N90" s="105"/>
      <c r="O90" s="105"/>
      <c r="Q90" s="111" t="s">
        <v>147</v>
      </c>
      <c r="U90" s="107">
        <v>86</v>
      </c>
      <c r="V90" s="107" t="s">
        <v>3</v>
      </c>
    </row>
    <row r="91" spans="2:22" hidden="1" x14ac:dyDescent="0.25">
      <c r="B91" s="101" t="s">
        <v>3</v>
      </c>
      <c r="C91" s="110" t="s">
        <v>2</v>
      </c>
      <c r="D91" s="105"/>
      <c r="E91" s="105"/>
      <c r="F91" s="105"/>
      <c r="G91" s="105"/>
      <c r="H91" s="105"/>
      <c r="I91" s="105"/>
      <c r="J91" s="105"/>
      <c r="K91" s="105"/>
      <c r="L91" s="105"/>
      <c r="M91" s="105"/>
      <c r="N91" s="105"/>
      <c r="O91" s="105"/>
      <c r="Q91" s="111" t="s">
        <v>147</v>
      </c>
      <c r="U91" s="107">
        <v>87</v>
      </c>
      <c r="V91" s="107" t="s">
        <v>3</v>
      </c>
    </row>
    <row r="92" spans="2:22" hidden="1" x14ac:dyDescent="0.25">
      <c r="B92" s="101" t="s">
        <v>3</v>
      </c>
      <c r="C92" s="110" t="s">
        <v>2</v>
      </c>
      <c r="D92" s="105"/>
      <c r="E92" s="105"/>
      <c r="F92" s="105"/>
      <c r="G92" s="105"/>
      <c r="H92" s="105"/>
      <c r="I92" s="105"/>
      <c r="J92" s="105"/>
      <c r="K92" s="105"/>
      <c r="L92" s="105"/>
      <c r="M92" s="105"/>
      <c r="N92" s="105"/>
      <c r="O92" s="105"/>
      <c r="Q92" s="111" t="s">
        <v>147</v>
      </c>
      <c r="U92" s="107">
        <v>88</v>
      </c>
      <c r="V92" s="107" t="s">
        <v>3</v>
      </c>
    </row>
    <row r="93" spans="2:22" x14ac:dyDescent="0.25">
      <c r="B93" s="101" t="s">
        <v>312</v>
      </c>
      <c r="C93" s="110" t="s">
        <v>2</v>
      </c>
      <c r="D93" s="105"/>
      <c r="E93" s="105"/>
      <c r="F93" s="105"/>
      <c r="G93" s="105"/>
      <c r="H93" s="105"/>
      <c r="I93" s="105"/>
      <c r="J93" s="105"/>
      <c r="K93" s="105"/>
      <c r="L93" s="105"/>
      <c r="M93" s="105"/>
      <c r="N93" s="105"/>
      <c r="O93" s="105"/>
      <c r="Q93" s="111" t="s">
        <v>147</v>
      </c>
      <c r="U93" s="107">
        <v>89</v>
      </c>
      <c r="V93" s="107" t="s">
        <v>3</v>
      </c>
    </row>
    <row r="94" spans="2:22" hidden="1" x14ac:dyDescent="0.25">
      <c r="B94" s="101" t="s">
        <v>3</v>
      </c>
      <c r="C94" s="110" t="s">
        <v>2</v>
      </c>
      <c r="D94" s="105"/>
      <c r="E94" s="105"/>
      <c r="F94" s="105"/>
      <c r="G94" s="105"/>
      <c r="H94" s="105"/>
      <c r="I94" s="105"/>
      <c r="J94" s="105"/>
      <c r="K94" s="105"/>
      <c r="L94" s="105"/>
      <c r="M94" s="105"/>
      <c r="N94" s="105"/>
      <c r="O94" s="105"/>
      <c r="Q94" s="111" t="s">
        <v>147</v>
      </c>
      <c r="U94" s="107">
        <v>90</v>
      </c>
      <c r="V94" s="107" t="s">
        <v>3</v>
      </c>
    </row>
    <row r="95" spans="2:22" hidden="1" x14ac:dyDescent="0.25">
      <c r="B95" s="101" t="s">
        <v>3</v>
      </c>
      <c r="C95" s="110" t="s">
        <v>2</v>
      </c>
      <c r="D95" s="105"/>
      <c r="E95" s="105"/>
      <c r="F95" s="105"/>
      <c r="G95" s="105"/>
      <c r="H95" s="105"/>
      <c r="I95" s="105"/>
      <c r="J95" s="105"/>
      <c r="K95" s="105"/>
      <c r="L95" s="105"/>
      <c r="M95" s="105"/>
      <c r="N95" s="105"/>
      <c r="O95" s="105"/>
      <c r="Q95" s="111" t="s">
        <v>147</v>
      </c>
      <c r="U95" s="107">
        <v>91</v>
      </c>
      <c r="V95" s="107" t="s">
        <v>3</v>
      </c>
    </row>
    <row r="96" spans="2:22" hidden="1" x14ac:dyDescent="0.25">
      <c r="B96" s="101" t="s">
        <v>3</v>
      </c>
      <c r="C96" s="110" t="s">
        <v>2</v>
      </c>
      <c r="D96" s="105"/>
      <c r="E96" s="105"/>
      <c r="F96" s="105"/>
      <c r="G96" s="105"/>
      <c r="H96" s="105"/>
      <c r="I96" s="105"/>
      <c r="J96" s="105"/>
      <c r="K96" s="105"/>
      <c r="L96" s="105"/>
      <c r="M96" s="105"/>
      <c r="N96" s="105"/>
      <c r="O96" s="105"/>
      <c r="Q96" s="111" t="s">
        <v>147</v>
      </c>
      <c r="U96" s="107">
        <v>92</v>
      </c>
      <c r="V96" s="107" t="s">
        <v>3</v>
      </c>
    </row>
    <row r="97" spans="2:22" x14ac:dyDescent="0.25">
      <c r="B97" s="101" t="s">
        <v>313</v>
      </c>
      <c r="C97" s="110" t="s">
        <v>2</v>
      </c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  <c r="O97" s="105"/>
      <c r="Q97" s="111" t="s">
        <v>147</v>
      </c>
      <c r="U97" s="107">
        <v>93</v>
      </c>
      <c r="V97" s="107" t="s">
        <v>3</v>
      </c>
    </row>
    <row r="98" spans="2:22" hidden="1" x14ac:dyDescent="0.25">
      <c r="B98" s="101" t="s">
        <v>3</v>
      </c>
      <c r="C98" s="110" t="s">
        <v>2</v>
      </c>
      <c r="D98" s="105"/>
      <c r="E98" s="105"/>
      <c r="F98" s="105"/>
      <c r="G98" s="105"/>
      <c r="H98" s="105"/>
      <c r="I98" s="105"/>
      <c r="J98" s="105"/>
      <c r="K98" s="105"/>
      <c r="L98" s="105"/>
      <c r="M98" s="105"/>
      <c r="N98" s="105"/>
      <c r="O98" s="105"/>
      <c r="Q98" s="111" t="s">
        <v>147</v>
      </c>
      <c r="U98" s="107">
        <v>94</v>
      </c>
      <c r="V98" s="107" t="s">
        <v>3</v>
      </c>
    </row>
    <row r="99" spans="2:22" hidden="1" x14ac:dyDescent="0.25">
      <c r="B99" s="101" t="s">
        <v>3</v>
      </c>
      <c r="C99" s="110" t="s">
        <v>2</v>
      </c>
      <c r="D99" s="105"/>
      <c r="E99" s="105"/>
      <c r="F99" s="105"/>
      <c r="G99" s="105"/>
      <c r="H99" s="105"/>
      <c r="I99" s="105"/>
      <c r="J99" s="105"/>
      <c r="K99" s="105"/>
      <c r="L99" s="105"/>
      <c r="M99" s="105"/>
      <c r="N99" s="105"/>
      <c r="O99" s="105"/>
      <c r="Q99" s="111" t="s">
        <v>147</v>
      </c>
      <c r="U99" s="107">
        <v>95</v>
      </c>
      <c r="V99" s="107" t="s">
        <v>3</v>
      </c>
    </row>
    <row r="100" spans="2:22" hidden="1" x14ac:dyDescent="0.25">
      <c r="B100" s="101" t="s">
        <v>3</v>
      </c>
      <c r="C100" s="110" t="s">
        <v>2</v>
      </c>
      <c r="D100" s="105"/>
      <c r="E100" s="105"/>
      <c r="F100" s="105"/>
      <c r="G100" s="105"/>
      <c r="H100" s="105"/>
      <c r="I100" s="105"/>
      <c r="J100" s="105"/>
      <c r="K100" s="105"/>
      <c r="L100" s="105"/>
      <c r="M100" s="105"/>
      <c r="N100" s="105"/>
      <c r="O100" s="105"/>
      <c r="Q100" s="111" t="s">
        <v>147</v>
      </c>
      <c r="U100" s="107">
        <v>96</v>
      </c>
      <c r="V100" s="107" t="s">
        <v>3</v>
      </c>
    </row>
    <row r="101" spans="2:22" x14ac:dyDescent="0.25">
      <c r="B101" s="101" t="s">
        <v>314</v>
      </c>
      <c r="C101" s="110" t="s">
        <v>2</v>
      </c>
      <c r="D101" s="105"/>
      <c r="E101" s="105"/>
      <c r="F101" s="105"/>
      <c r="G101" s="105"/>
      <c r="H101" s="105"/>
      <c r="I101" s="105"/>
      <c r="J101" s="105"/>
      <c r="K101" s="105"/>
      <c r="L101" s="105"/>
      <c r="M101" s="105"/>
      <c r="N101" s="105"/>
      <c r="O101" s="105"/>
      <c r="Q101" s="111" t="s">
        <v>147</v>
      </c>
      <c r="U101" s="107">
        <v>97</v>
      </c>
      <c r="V101" s="107" t="s">
        <v>3</v>
      </c>
    </row>
    <row r="102" spans="2:22" hidden="1" x14ac:dyDescent="0.25">
      <c r="B102" s="101" t="s">
        <v>3</v>
      </c>
      <c r="C102" s="110" t="s">
        <v>2</v>
      </c>
      <c r="D102" s="105"/>
      <c r="E102" s="105"/>
      <c r="F102" s="105"/>
      <c r="G102" s="105"/>
      <c r="H102" s="105"/>
      <c r="I102" s="105"/>
      <c r="J102" s="105"/>
      <c r="K102" s="105"/>
      <c r="L102" s="105"/>
      <c r="M102" s="105"/>
      <c r="N102" s="105"/>
      <c r="O102" s="105"/>
      <c r="Q102" s="111" t="s">
        <v>147</v>
      </c>
      <c r="U102" s="107">
        <v>98</v>
      </c>
      <c r="V102" s="107" t="s">
        <v>3</v>
      </c>
    </row>
    <row r="103" spans="2:22" hidden="1" x14ac:dyDescent="0.25">
      <c r="B103" s="101" t="s">
        <v>3</v>
      </c>
      <c r="C103" s="110" t="s">
        <v>2</v>
      </c>
      <c r="D103" s="105"/>
      <c r="E103" s="105"/>
      <c r="F103" s="105"/>
      <c r="G103" s="105"/>
      <c r="H103" s="105"/>
      <c r="I103" s="105"/>
      <c r="J103" s="105"/>
      <c r="K103" s="105"/>
      <c r="L103" s="105"/>
      <c r="M103" s="105"/>
      <c r="N103" s="105"/>
      <c r="O103" s="105"/>
      <c r="Q103" s="111" t="s">
        <v>147</v>
      </c>
      <c r="U103" s="107">
        <v>99</v>
      </c>
      <c r="V103" s="107" t="s">
        <v>3</v>
      </c>
    </row>
    <row r="104" spans="2:22" hidden="1" x14ac:dyDescent="0.25">
      <c r="B104" s="101" t="s">
        <v>3</v>
      </c>
      <c r="C104" s="110" t="s">
        <v>2</v>
      </c>
      <c r="D104" s="105"/>
      <c r="E104" s="105"/>
      <c r="F104" s="105"/>
      <c r="G104" s="105"/>
      <c r="H104" s="105"/>
      <c r="I104" s="105"/>
      <c r="J104" s="105"/>
      <c r="K104" s="105"/>
      <c r="L104" s="105"/>
      <c r="M104" s="105"/>
      <c r="N104" s="105"/>
      <c r="O104" s="105"/>
      <c r="Q104" s="111" t="s">
        <v>147</v>
      </c>
      <c r="U104" s="107">
        <v>100</v>
      </c>
      <c r="V104" s="107" t="s">
        <v>3</v>
      </c>
    </row>
    <row r="105" spans="2:22" x14ac:dyDescent="0.25">
      <c r="B105" s="101" t="s">
        <v>315</v>
      </c>
      <c r="C105" s="110" t="s">
        <v>2</v>
      </c>
      <c r="D105" s="105"/>
      <c r="E105" s="105"/>
      <c r="F105" s="105"/>
      <c r="G105" s="105"/>
      <c r="H105" s="105"/>
      <c r="I105" s="105"/>
      <c r="J105" s="105"/>
      <c r="K105" s="105"/>
      <c r="L105" s="105"/>
      <c r="M105" s="105"/>
      <c r="N105" s="105"/>
      <c r="O105" s="105"/>
      <c r="Q105" s="111" t="s">
        <v>147</v>
      </c>
      <c r="U105" s="107">
        <v>101</v>
      </c>
      <c r="V105" s="107" t="s">
        <v>3</v>
      </c>
    </row>
    <row r="106" spans="2:22" hidden="1" x14ac:dyDescent="0.25">
      <c r="B106" s="101" t="s">
        <v>3</v>
      </c>
      <c r="C106" s="110" t="s">
        <v>2</v>
      </c>
      <c r="D106" s="105"/>
      <c r="E106" s="105"/>
      <c r="F106" s="105"/>
      <c r="G106" s="105"/>
      <c r="H106" s="105"/>
      <c r="I106" s="105"/>
      <c r="J106" s="105"/>
      <c r="K106" s="105"/>
      <c r="L106" s="105"/>
      <c r="M106" s="105"/>
      <c r="N106" s="105"/>
      <c r="O106" s="105"/>
      <c r="Q106" s="111" t="s">
        <v>147</v>
      </c>
      <c r="U106" s="107">
        <v>102</v>
      </c>
      <c r="V106" s="107" t="s">
        <v>3</v>
      </c>
    </row>
    <row r="107" spans="2:22" hidden="1" x14ac:dyDescent="0.25">
      <c r="B107" s="101" t="s">
        <v>3</v>
      </c>
      <c r="C107" s="110" t="s">
        <v>2</v>
      </c>
      <c r="D107" s="105"/>
      <c r="E107" s="105"/>
      <c r="F107" s="105"/>
      <c r="G107" s="105"/>
      <c r="H107" s="105"/>
      <c r="I107" s="105"/>
      <c r="J107" s="105"/>
      <c r="K107" s="105"/>
      <c r="L107" s="105"/>
      <c r="M107" s="105"/>
      <c r="N107" s="105"/>
      <c r="O107" s="105"/>
      <c r="Q107" s="111" t="s">
        <v>147</v>
      </c>
      <c r="U107" s="107">
        <v>103</v>
      </c>
      <c r="V107" s="107" t="s">
        <v>3</v>
      </c>
    </row>
    <row r="108" spans="2:22" hidden="1" x14ac:dyDescent="0.25">
      <c r="B108" s="101" t="s">
        <v>3</v>
      </c>
      <c r="C108" s="110" t="s">
        <v>2</v>
      </c>
      <c r="D108" s="105"/>
      <c r="E108" s="105"/>
      <c r="F108" s="105"/>
      <c r="G108" s="105"/>
      <c r="H108" s="105"/>
      <c r="I108" s="105"/>
      <c r="J108" s="105"/>
      <c r="K108" s="105"/>
      <c r="L108" s="105"/>
      <c r="M108" s="105"/>
      <c r="N108" s="105"/>
      <c r="O108" s="105"/>
      <c r="Q108" s="111" t="s">
        <v>147</v>
      </c>
      <c r="U108" s="107">
        <v>104</v>
      </c>
      <c r="V108" s="107" t="s">
        <v>3</v>
      </c>
    </row>
    <row r="109" spans="2:22" x14ac:dyDescent="0.25">
      <c r="B109" s="101" t="s">
        <v>316</v>
      </c>
      <c r="C109" s="110" t="s">
        <v>2</v>
      </c>
      <c r="D109" s="105"/>
      <c r="E109" s="105"/>
      <c r="F109" s="105"/>
      <c r="G109" s="105"/>
      <c r="H109" s="105"/>
      <c r="I109" s="105"/>
      <c r="J109" s="105"/>
      <c r="K109" s="105"/>
      <c r="L109" s="105"/>
      <c r="M109" s="105"/>
      <c r="N109" s="105"/>
      <c r="O109" s="105"/>
      <c r="Q109" s="111" t="s">
        <v>147</v>
      </c>
      <c r="U109" s="107">
        <v>105</v>
      </c>
      <c r="V109" s="107" t="s">
        <v>3</v>
      </c>
    </row>
    <row r="110" spans="2:22" hidden="1" x14ac:dyDescent="0.25">
      <c r="B110" s="101" t="s">
        <v>3</v>
      </c>
      <c r="C110" s="110" t="s">
        <v>2</v>
      </c>
      <c r="D110" s="105"/>
      <c r="E110" s="105"/>
      <c r="F110" s="105"/>
      <c r="G110" s="105"/>
      <c r="H110" s="105"/>
      <c r="I110" s="105"/>
      <c r="J110" s="105"/>
      <c r="K110" s="105"/>
      <c r="L110" s="105"/>
      <c r="M110" s="105"/>
      <c r="N110" s="105"/>
      <c r="O110" s="105"/>
      <c r="Q110" s="111" t="s">
        <v>147</v>
      </c>
      <c r="U110" s="107">
        <v>106</v>
      </c>
      <c r="V110" s="107" t="s">
        <v>3</v>
      </c>
    </row>
    <row r="111" spans="2:22" hidden="1" x14ac:dyDescent="0.25">
      <c r="B111" s="101" t="s">
        <v>3</v>
      </c>
      <c r="C111" s="110" t="s">
        <v>2</v>
      </c>
      <c r="D111" s="105"/>
      <c r="E111" s="105"/>
      <c r="F111" s="105"/>
      <c r="G111" s="105"/>
      <c r="H111" s="105"/>
      <c r="I111" s="105"/>
      <c r="J111" s="105"/>
      <c r="K111" s="105"/>
      <c r="L111" s="105"/>
      <c r="M111" s="105"/>
      <c r="N111" s="105"/>
      <c r="O111" s="105"/>
      <c r="Q111" s="111" t="s">
        <v>147</v>
      </c>
      <c r="U111" s="107">
        <v>107</v>
      </c>
      <c r="V111" s="107" t="s">
        <v>3</v>
      </c>
    </row>
    <row r="112" spans="2:22" hidden="1" x14ac:dyDescent="0.25">
      <c r="B112" s="101" t="s">
        <v>3</v>
      </c>
      <c r="C112" s="110" t="s">
        <v>2</v>
      </c>
      <c r="D112" s="105"/>
      <c r="E112" s="105"/>
      <c r="F112" s="105"/>
      <c r="G112" s="105"/>
      <c r="H112" s="105"/>
      <c r="I112" s="105"/>
      <c r="J112" s="105"/>
      <c r="K112" s="105"/>
      <c r="L112" s="105"/>
      <c r="M112" s="105"/>
      <c r="N112" s="105"/>
      <c r="O112" s="105"/>
      <c r="Q112" s="111" t="s">
        <v>147</v>
      </c>
      <c r="U112" s="107">
        <v>108</v>
      </c>
      <c r="V112" s="107" t="s">
        <v>3</v>
      </c>
    </row>
    <row r="113" spans="2:22" x14ac:dyDescent="0.25">
      <c r="B113" s="101" t="s">
        <v>317</v>
      </c>
      <c r="C113" s="110" t="s">
        <v>2</v>
      </c>
      <c r="D113" s="105"/>
      <c r="E113" s="105"/>
      <c r="F113" s="105"/>
      <c r="G113" s="105"/>
      <c r="H113" s="105"/>
      <c r="I113" s="105"/>
      <c r="J113" s="105"/>
      <c r="K113" s="105"/>
      <c r="L113" s="105"/>
      <c r="M113" s="105"/>
      <c r="N113" s="105"/>
      <c r="O113" s="105"/>
      <c r="Q113" s="111" t="s">
        <v>147</v>
      </c>
      <c r="U113" s="107">
        <v>109</v>
      </c>
      <c r="V113" s="107" t="s">
        <v>3</v>
      </c>
    </row>
    <row r="114" spans="2:22" hidden="1" x14ac:dyDescent="0.25">
      <c r="B114" s="101" t="s">
        <v>3</v>
      </c>
      <c r="C114" s="110" t="s">
        <v>2</v>
      </c>
      <c r="D114" s="105"/>
      <c r="E114" s="105"/>
      <c r="F114" s="105"/>
      <c r="G114" s="105"/>
      <c r="H114" s="105"/>
      <c r="I114" s="105"/>
      <c r="J114" s="105"/>
      <c r="K114" s="105"/>
      <c r="L114" s="105"/>
      <c r="M114" s="105"/>
      <c r="N114" s="105"/>
      <c r="O114" s="105"/>
      <c r="Q114" s="111" t="s">
        <v>147</v>
      </c>
      <c r="U114" s="107">
        <v>110</v>
      </c>
      <c r="V114" s="107" t="s">
        <v>3</v>
      </c>
    </row>
    <row r="115" spans="2:22" hidden="1" x14ac:dyDescent="0.25">
      <c r="B115" s="101" t="s">
        <v>3</v>
      </c>
      <c r="C115" s="110" t="s">
        <v>2</v>
      </c>
      <c r="D115" s="105"/>
      <c r="E115" s="105"/>
      <c r="F115" s="105"/>
      <c r="G115" s="105"/>
      <c r="H115" s="105"/>
      <c r="I115" s="105"/>
      <c r="J115" s="105"/>
      <c r="K115" s="105"/>
      <c r="L115" s="105"/>
      <c r="M115" s="105"/>
      <c r="N115" s="105"/>
      <c r="O115" s="105"/>
      <c r="Q115" s="111" t="s">
        <v>147</v>
      </c>
      <c r="U115" s="107">
        <v>111</v>
      </c>
      <c r="V115" s="107" t="s">
        <v>3</v>
      </c>
    </row>
    <row r="116" spans="2:22" hidden="1" x14ac:dyDescent="0.25">
      <c r="B116" s="101" t="s">
        <v>3</v>
      </c>
      <c r="C116" s="110" t="s">
        <v>2</v>
      </c>
      <c r="D116" s="105"/>
      <c r="E116" s="105"/>
      <c r="F116" s="105"/>
      <c r="G116" s="105"/>
      <c r="H116" s="105"/>
      <c r="I116" s="105"/>
      <c r="J116" s="105"/>
      <c r="K116" s="105"/>
      <c r="L116" s="105"/>
      <c r="M116" s="105"/>
      <c r="N116" s="105"/>
      <c r="O116" s="105"/>
      <c r="Q116" s="111" t="s">
        <v>147</v>
      </c>
      <c r="U116" s="107">
        <v>112</v>
      </c>
      <c r="V116" s="107" t="s">
        <v>3</v>
      </c>
    </row>
    <row r="117" spans="2:22" x14ac:dyDescent="0.25">
      <c r="B117" s="101" t="s">
        <v>318</v>
      </c>
      <c r="C117" s="110"/>
      <c r="D117" s="105" t="s">
        <v>258</v>
      </c>
      <c r="E117" s="105"/>
      <c r="F117" s="105"/>
      <c r="G117" s="105"/>
      <c r="H117" s="105"/>
      <c r="I117" s="105"/>
      <c r="J117" s="105"/>
      <c r="K117" s="105" t="s">
        <v>237</v>
      </c>
      <c r="L117" s="105" t="s">
        <v>237</v>
      </c>
      <c r="M117" s="105"/>
      <c r="N117" s="105"/>
      <c r="O117" s="105"/>
      <c r="Q117" s="111" t="s">
        <v>147</v>
      </c>
      <c r="U117" s="107">
        <v>113</v>
      </c>
      <c r="V117" s="107" t="s">
        <v>4</v>
      </c>
    </row>
    <row r="118" spans="2:22" hidden="1" x14ac:dyDescent="0.25">
      <c r="B118" s="101" t="s">
        <v>3</v>
      </c>
      <c r="C118" s="110" t="s">
        <v>2</v>
      </c>
      <c r="D118" s="105"/>
      <c r="E118" s="105"/>
      <c r="F118" s="105"/>
      <c r="G118" s="105"/>
      <c r="H118" s="105"/>
      <c r="I118" s="105"/>
      <c r="J118" s="105"/>
      <c r="K118" s="105"/>
      <c r="L118" s="105"/>
      <c r="M118" s="105"/>
      <c r="N118" s="105"/>
      <c r="O118" s="105"/>
      <c r="Q118" s="111" t="s">
        <v>147</v>
      </c>
      <c r="U118" s="107"/>
      <c r="V118" s="107" t="s">
        <v>3</v>
      </c>
    </row>
    <row r="119" spans="2:22" hidden="1" x14ac:dyDescent="0.25">
      <c r="B119" s="101" t="s">
        <v>3</v>
      </c>
      <c r="C119" s="110" t="s">
        <v>2</v>
      </c>
      <c r="D119" s="105"/>
      <c r="E119" s="105"/>
      <c r="F119" s="105"/>
      <c r="G119" s="105"/>
      <c r="H119" s="105"/>
      <c r="I119" s="105"/>
      <c r="J119" s="105"/>
      <c r="K119" s="105"/>
      <c r="L119" s="105"/>
      <c r="M119" s="105"/>
      <c r="N119" s="105"/>
      <c r="O119" s="105"/>
      <c r="Q119" s="111" t="s">
        <v>147</v>
      </c>
      <c r="U119" s="107"/>
      <c r="V119" s="107" t="s">
        <v>3</v>
      </c>
    </row>
    <row r="120" spans="2:22" hidden="1" x14ac:dyDescent="0.25">
      <c r="B120" s="101" t="s">
        <v>3</v>
      </c>
      <c r="C120" s="110" t="s">
        <v>2</v>
      </c>
      <c r="D120" s="105"/>
      <c r="E120" s="105"/>
      <c r="F120" s="105"/>
      <c r="G120" s="105"/>
      <c r="H120" s="105"/>
      <c r="I120" s="105"/>
      <c r="J120" s="105"/>
      <c r="K120" s="105"/>
      <c r="L120" s="105"/>
      <c r="M120" s="105"/>
      <c r="N120" s="105"/>
      <c r="O120" s="105"/>
      <c r="Q120" s="111" t="s">
        <v>147</v>
      </c>
      <c r="U120" s="107"/>
      <c r="V120" s="107" t="s">
        <v>3</v>
      </c>
    </row>
    <row r="121" spans="2:22" x14ac:dyDescent="0.25">
      <c r="B121" s="101" t="s">
        <v>319</v>
      </c>
      <c r="C121" s="110"/>
      <c r="D121" s="105" t="s">
        <v>257</v>
      </c>
      <c r="E121" s="105"/>
      <c r="F121" s="105"/>
      <c r="G121" s="105"/>
      <c r="H121" s="105"/>
      <c r="I121" s="105"/>
      <c r="J121" s="105"/>
      <c r="K121" s="105" t="s">
        <v>237</v>
      </c>
      <c r="L121" s="105" t="s">
        <v>237</v>
      </c>
      <c r="M121" s="105"/>
      <c r="N121" s="105"/>
      <c r="O121" s="105"/>
      <c r="Q121" s="111" t="s">
        <v>147</v>
      </c>
      <c r="U121" s="107">
        <v>113</v>
      </c>
      <c r="V121" s="107" t="s">
        <v>4</v>
      </c>
    </row>
    <row r="122" spans="2:22" hidden="1" x14ac:dyDescent="0.25">
      <c r="B122" s="101" t="s">
        <v>3</v>
      </c>
      <c r="C122" s="110" t="s">
        <v>2</v>
      </c>
      <c r="D122" s="105"/>
      <c r="E122" s="105"/>
      <c r="F122" s="105"/>
      <c r="G122" s="105"/>
      <c r="H122" s="105"/>
      <c r="I122" s="105"/>
      <c r="J122" s="105"/>
      <c r="K122" s="105"/>
      <c r="L122" s="105"/>
      <c r="M122" s="105"/>
      <c r="N122" s="105"/>
      <c r="O122" s="105"/>
      <c r="Q122" s="111" t="s">
        <v>147</v>
      </c>
      <c r="U122" s="107"/>
      <c r="V122" s="107" t="s">
        <v>3</v>
      </c>
    </row>
    <row r="123" spans="2:22" hidden="1" x14ac:dyDescent="0.25">
      <c r="B123" s="101" t="s">
        <v>3</v>
      </c>
      <c r="C123" s="110" t="s">
        <v>2</v>
      </c>
      <c r="D123" s="105"/>
      <c r="E123" s="105"/>
      <c r="F123" s="105"/>
      <c r="G123" s="105"/>
      <c r="H123" s="105"/>
      <c r="I123" s="105"/>
      <c r="J123" s="105"/>
      <c r="K123" s="105"/>
      <c r="L123" s="105"/>
      <c r="M123" s="105"/>
      <c r="N123" s="105"/>
      <c r="O123" s="105"/>
      <c r="Q123" s="111" t="s">
        <v>147</v>
      </c>
      <c r="U123" s="107"/>
      <c r="V123" s="107" t="s">
        <v>3</v>
      </c>
    </row>
    <row r="124" spans="2:22" hidden="1" x14ac:dyDescent="0.25">
      <c r="B124" s="101" t="s">
        <v>3</v>
      </c>
      <c r="C124" s="110" t="s">
        <v>2</v>
      </c>
      <c r="D124" s="105"/>
      <c r="E124" s="105"/>
      <c r="F124" s="105"/>
      <c r="G124" s="105"/>
      <c r="H124" s="105"/>
      <c r="I124" s="105"/>
      <c r="J124" s="105"/>
      <c r="K124" s="105"/>
      <c r="L124" s="105"/>
      <c r="M124" s="105"/>
      <c r="N124" s="105"/>
      <c r="O124" s="105"/>
      <c r="Q124" s="111" t="s">
        <v>147</v>
      </c>
      <c r="U124" s="107"/>
      <c r="V124" s="107" t="s">
        <v>3</v>
      </c>
    </row>
    <row r="125" spans="2:22" x14ac:dyDescent="0.25">
      <c r="B125" s="101" t="s">
        <v>320</v>
      </c>
      <c r="C125" s="110" t="s">
        <v>250</v>
      </c>
      <c r="D125" s="105"/>
      <c r="E125" s="105"/>
      <c r="F125" s="105"/>
      <c r="G125" s="105"/>
      <c r="H125" s="105"/>
      <c r="I125" s="105"/>
      <c r="J125" s="105"/>
      <c r="K125" s="105"/>
      <c r="L125" s="105"/>
      <c r="M125" s="105"/>
      <c r="N125" s="105"/>
      <c r="O125" s="105"/>
      <c r="Q125" s="111" t="s">
        <v>160</v>
      </c>
      <c r="U125" s="107">
        <v>200</v>
      </c>
      <c r="V125" s="105" t="s">
        <v>251</v>
      </c>
    </row>
    <row r="126" spans="2:22" hidden="1" x14ac:dyDescent="0.25">
      <c r="B126" s="101" t="s">
        <v>3</v>
      </c>
      <c r="C126" s="110" t="s">
        <v>2</v>
      </c>
      <c r="D126" s="105"/>
      <c r="E126" s="105"/>
      <c r="F126" s="105"/>
      <c r="G126" s="105"/>
      <c r="H126" s="105"/>
      <c r="I126" s="105"/>
      <c r="J126" s="105"/>
      <c r="K126" s="105"/>
      <c r="L126" s="105"/>
      <c r="M126" s="105"/>
      <c r="N126" s="105"/>
      <c r="O126" s="105"/>
      <c r="Q126" s="111" t="s">
        <v>147</v>
      </c>
      <c r="U126" s="107"/>
      <c r="V126" s="105" t="s">
        <v>3</v>
      </c>
    </row>
    <row r="127" spans="2:22" hidden="1" x14ac:dyDescent="0.25">
      <c r="B127" s="101" t="s">
        <v>3</v>
      </c>
      <c r="C127" s="110" t="s">
        <v>2</v>
      </c>
      <c r="D127" s="105"/>
      <c r="E127" s="105"/>
      <c r="F127" s="105"/>
      <c r="G127" s="105"/>
      <c r="H127" s="105"/>
      <c r="I127" s="105"/>
      <c r="J127" s="105"/>
      <c r="K127" s="105"/>
      <c r="L127" s="105"/>
      <c r="M127" s="105"/>
      <c r="N127" s="105"/>
      <c r="O127" s="105"/>
      <c r="Q127" s="111" t="s">
        <v>147</v>
      </c>
      <c r="U127" s="107"/>
      <c r="V127" s="105" t="s">
        <v>3</v>
      </c>
    </row>
    <row r="128" spans="2:22" hidden="1" x14ac:dyDescent="0.25">
      <c r="B128" s="101" t="s">
        <v>3</v>
      </c>
      <c r="C128" s="110" t="s">
        <v>2</v>
      </c>
      <c r="D128" s="105"/>
      <c r="E128" s="105"/>
      <c r="F128" s="105"/>
      <c r="G128" s="105"/>
      <c r="H128" s="105"/>
      <c r="I128" s="105"/>
      <c r="J128" s="105"/>
      <c r="K128" s="105"/>
      <c r="L128" s="105"/>
      <c r="M128" s="105"/>
      <c r="N128" s="105"/>
      <c r="O128" s="105"/>
      <c r="Q128" s="111" t="s">
        <v>147</v>
      </c>
      <c r="U128" s="107"/>
      <c r="V128" s="105" t="s">
        <v>3</v>
      </c>
    </row>
    <row r="129" spans="2:22" x14ac:dyDescent="0.25">
      <c r="B129" s="101" t="s">
        <v>321</v>
      </c>
      <c r="C129" s="110" t="s">
        <v>250</v>
      </c>
      <c r="D129" s="105"/>
      <c r="E129" s="105"/>
      <c r="F129" s="105"/>
      <c r="G129" s="105"/>
      <c r="H129" s="105"/>
      <c r="I129" s="105"/>
      <c r="J129" s="105"/>
      <c r="K129" s="105"/>
      <c r="L129" s="105"/>
      <c r="M129" s="105"/>
      <c r="N129" s="105"/>
      <c r="O129" s="105"/>
      <c r="Q129" s="111" t="s">
        <v>160</v>
      </c>
      <c r="U129" s="107">
        <v>200</v>
      </c>
      <c r="V129" s="105" t="s">
        <v>251</v>
      </c>
    </row>
    <row r="130" spans="2:22" hidden="1" x14ac:dyDescent="0.25">
      <c r="B130" s="101" t="s">
        <v>3</v>
      </c>
      <c r="C130" s="110" t="s">
        <v>2</v>
      </c>
      <c r="D130" s="105"/>
      <c r="E130" s="105"/>
      <c r="F130" s="105"/>
      <c r="G130" s="105"/>
      <c r="H130" s="105"/>
      <c r="I130" s="105"/>
      <c r="J130" s="105"/>
      <c r="K130" s="105"/>
      <c r="L130" s="105"/>
      <c r="M130" s="105"/>
      <c r="N130" s="105"/>
      <c r="O130" s="105"/>
      <c r="Q130" s="111" t="s">
        <v>147</v>
      </c>
      <c r="U130" s="107"/>
      <c r="V130" s="105" t="s">
        <v>3</v>
      </c>
    </row>
    <row r="131" spans="2:22" hidden="1" x14ac:dyDescent="0.25">
      <c r="B131" s="101" t="s">
        <v>3</v>
      </c>
      <c r="C131" s="110" t="s">
        <v>2</v>
      </c>
      <c r="D131" s="105"/>
      <c r="E131" s="105"/>
      <c r="F131" s="105"/>
      <c r="G131" s="105"/>
      <c r="H131" s="105"/>
      <c r="I131" s="105"/>
      <c r="J131" s="105"/>
      <c r="K131" s="105"/>
      <c r="L131" s="105"/>
      <c r="M131" s="105"/>
      <c r="N131" s="105"/>
      <c r="O131" s="105"/>
      <c r="Q131" s="111" t="s">
        <v>147</v>
      </c>
      <c r="U131" s="107"/>
      <c r="V131" s="105" t="s">
        <v>3</v>
      </c>
    </row>
    <row r="132" spans="2:22" ht="17.25" customHeight="1" x14ac:dyDescent="0.25">
      <c r="B132" s="101" t="s">
        <v>377</v>
      </c>
      <c r="C132" s="110" t="s">
        <v>2</v>
      </c>
      <c r="D132" s="105"/>
      <c r="E132" s="105"/>
      <c r="F132" s="105"/>
      <c r="G132" s="105"/>
      <c r="H132" s="105"/>
      <c r="I132" s="105"/>
      <c r="J132" s="105"/>
      <c r="K132" s="105"/>
      <c r="L132" s="105"/>
      <c r="M132" s="105"/>
      <c r="N132" s="105"/>
      <c r="O132" s="105"/>
      <c r="Q132" s="111" t="s">
        <v>147</v>
      </c>
      <c r="U132" s="107"/>
      <c r="V132" s="105" t="s">
        <v>3</v>
      </c>
    </row>
    <row r="133" spans="2:22" s="112" customFormat="1" ht="17.25" customHeight="1" x14ac:dyDescent="0.25">
      <c r="B133" s="103" t="s">
        <v>378</v>
      </c>
      <c r="C133" s="110" t="s">
        <v>252</v>
      </c>
      <c r="D133" s="105" t="s">
        <v>256</v>
      </c>
      <c r="E133" s="105"/>
      <c r="F133" s="105" t="s">
        <v>237</v>
      </c>
      <c r="G133" s="105" t="s">
        <v>237</v>
      </c>
      <c r="H133" s="105"/>
      <c r="I133" s="105"/>
      <c r="J133" s="105"/>
      <c r="K133" s="105" t="s">
        <v>237</v>
      </c>
      <c r="L133" s="105" t="s">
        <v>237</v>
      </c>
      <c r="M133" s="105"/>
      <c r="N133" s="105"/>
      <c r="O133" s="105"/>
      <c r="Q133" s="112" t="s">
        <v>160</v>
      </c>
      <c r="U133" s="105">
        <v>129</v>
      </c>
      <c r="V133" s="105" t="s">
        <v>4</v>
      </c>
    </row>
    <row r="134" spans="2:22" s="112" customFormat="1" x14ac:dyDescent="0.25"/>
    <row r="135" spans="2:22" s="112" customFormat="1" x14ac:dyDescent="0.25"/>
    <row r="136" spans="2:22" s="112" customFormat="1" x14ac:dyDescent="0.25"/>
    <row r="137" spans="2:22" s="112" customFormat="1" x14ac:dyDescent="0.25"/>
    <row r="138" spans="2:22" s="112" customFormat="1" x14ac:dyDescent="0.25"/>
    <row r="139" spans="2:22" s="112" customFormat="1" x14ac:dyDescent="0.25"/>
    <row r="140" spans="2:22" s="112" customFormat="1" x14ac:dyDescent="0.25"/>
    <row r="141" spans="2:22" s="112" customFormat="1" x14ac:dyDescent="0.25"/>
  </sheetData>
  <mergeCells count="4">
    <mergeCell ref="X22:Y22"/>
    <mergeCell ref="X32:Y32"/>
    <mergeCell ref="X43:Y43"/>
    <mergeCell ref="X49:Z55"/>
  </mergeCells>
  <pageMargins left="0.7" right="0.7" top="0.75" bottom="0.75" header="0.3" footer="0.3"/>
  <pageSetup orientation="portrait" horizontalDpi="360" verticalDpi="360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F188072C4DA3348AF169DDEB3597DBC" ma:contentTypeVersion="0" ma:contentTypeDescription="Create a new document." ma:contentTypeScope="" ma:versionID="c25c260220143923a284e65e82c7aa10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243C670-E16E-4DBD-9932-9E3C368D505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7EC8E88-CAB0-4126-B715-480B29594A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2535616-3E13-4575-9B51-ECA7D821FF84}">
  <ds:schemaRefs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29</vt:i4>
      </vt:variant>
    </vt:vector>
  </HeadingPairs>
  <TitlesOfParts>
    <vt:vector size="35" baseType="lpstr">
      <vt:lpstr>General Configuration</vt:lpstr>
      <vt:lpstr>Logical Layout</vt:lpstr>
      <vt:lpstr>RHOSP Inventory</vt:lpstr>
      <vt:lpstr>Dell Networking S3048</vt:lpstr>
      <vt:lpstr>Dell Networking Z9100-1</vt:lpstr>
      <vt:lpstr>Dell Networking Z9100-2</vt:lpstr>
      <vt:lpstr>ceph_clust_name</vt:lpstr>
      <vt:lpstr>Ceph_Cluster_ip_range</vt:lpstr>
      <vt:lpstr>CephCluster</vt:lpstr>
      <vt:lpstr>EXT_API_ip_range</vt:lpstr>
      <vt:lpstr>Ext_net_name</vt:lpstr>
      <vt:lpstr>EXT_Tenant_ip_range</vt:lpstr>
      <vt:lpstr>ExtAPI</vt:lpstr>
      <vt:lpstr>EXTTen</vt:lpstr>
      <vt:lpstr>OOB</vt:lpstr>
      <vt:lpstr>OOB_ip_range</vt:lpstr>
      <vt:lpstr>OOB_NAME</vt:lpstr>
      <vt:lpstr>'RHOSP Inventory'!Print_Area</vt:lpstr>
      <vt:lpstr>PrivAPI</vt:lpstr>
      <vt:lpstr>PrivAPI_name</vt:lpstr>
      <vt:lpstr>Private_API_ip_range</vt:lpstr>
      <vt:lpstr>Prov_name</vt:lpstr>
      <vt:lpstr>Provisioner</vt:lpstr>
      <vt:lpstr>Provisioner_ip_range</vt:lpstr>
      <vt:lpstr>PubAPI_Name</vt:lpstr>
      <vt:lpstr>stor_name</vt:lpstr>
      <vt:lpstr>Storage</vt:lpstr>
      <vt:lpstr>Storage_ip_range</vt:lpstr>
      <vt:lpstr>ten_beg_name</vt:lpstr>
      <vt:lpstr>ten_end_name</vt:lpstr>
      <vt:lpstr>Tenant_Tunnel_ip_range</vt:lpstr>
      <vt:lpstr>TenantBeg</vt:lpstr>
      <vt:lpstr>TenantEnd</vt:lpstr>
      <vt:lpstr>TenTunnel</vt:lpstr>
      <vt:lpstr>TenTunnelName</vt:lpstr>
    </vt:vector>
  </TitlesOfParts>
  <Company>Dell 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Lastra, Breno</dc:creator>
  <cp:keywords>Internal Use</cp:keywords>
  <cp:lastModifiedBy>Perryman, Randy</cp:lastModifiedBy>
  <dcterms:created xsi:type="dcterms:W3CDTF">2012-09-25T18:45:55Z</dcterms:created>
  <dcterms:modified xsi:type="dcterms:W3CDTF">2018-03-22T14:22:06Z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0x0101005F188072C4DA3348AF169DDEB3597DBC</vt:lpwstr>
  </property>
  <property fmtid="{D5CDD505-2E9C-101B-9397-08002B2CF9AE}" pid="3" name="TitusGUID">
    <vt:lpwstr>f778393a-f746-4726-a6f2-f0cf8b3f2fbc</vt:lpwstr>
  </property>
  <property fmtid="{D5CDD505-2E9C-101B-9397-08002B2CF9AE}" pid="4" name="DellClassification">
    <vt:lpwstr>Internal Use</vt:lpwstr>
  </property>
  <property fmtid="{D5CDD505-2E9C-101B-9397-08002B2CF9AE}" pid="5" name="DellSubLabels">
    <vt:lpwstr>Customer Workproduct</vt:lpwstr>
  </property>
  <property fmtid="{D5CDD505-2E9C-101B-9397-08002B2CF9AE}" pid="6" name="DellVisual Markings">
    <vt:lpwstr>None (Metadata Only)</vt:lpwstr>
  </property>
  <property fmtid="{D5CDD505-2E9C-101B-9397-08002B2CF9AE}" pid="7" name="titusconfig">
    <vt:lpwstr>0.6CorpGlobal</vt:lpwstr>
  </property>
  <property fmtid="{D5CDD505-2E9C-101B-9397-08002B2CF9AE}" pid="8" name="Document Editor">
    <vt:lpwstr>Randy_Perryman</vt:lpwstr>
  </property>
  <property fmtid="{D5CDD505-2E9C-101B-9397-08002B2CF9AE}" pid="9" name="Classification">
    <vt:lpwstr>Internal Use</vt:lpwstr>
  </property>
  <property fmtid="{D5CDD505-2E9C-101B-9397-08002B2CF9AE}" pid="10" name="Sublabels">
    <vt:lpwstr>Customer Workproduct</vt:lpwstr>
  </property>
  <property fmtid="{D5CDD505-2E9C-101B-9397-08002B2CF9AE}" pid="11" name="VisualMarkings">
    <vt:lpwstr>Classification Footer</vt:lpwstr>
  </property>
</Properties>
</file>