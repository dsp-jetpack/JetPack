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_t_williams\Desktop\"/>
    </mc:Choice>
  </mc:AlternateContent>
  <xr:revisionPtr revIDLastSave="0" documentId="10_ncr:100000_{778DB36B-1BBB-49DA-8DBC-DE87DE6C3118}" xr6:coauthVersionLast="31" xr6:coauthVersionMax="31" xr10:uidLastSave="{00000000-0000-0000-0000-000000000000}"/>
  <bookViews>
    <workbookView xWindow="0" yWindow="0" windowWidth="15780" windowHeight="5250" tabRatio="888" activeTab="6" xr2:uid="{00000000-000D-0000-FFFF-FFFF00000000}"/>
  </bookViews>
  <sheets>
    <sheet name="General Configuration" sheetId="48" r:id="rId1"/>
    <sheet name="Node Inventory" sheetId="44" r:id="rId2"/>
    <sheet name="Network Information" sheetId="41" r:id="rId3"/>
    <sheet name="Dell Networking S3048" sheetId="13" r:id="rId4"/>
    <sheet name="Dell Networking S4048-1" sheetId="10" r:id="rId5"/>
    <sheet name="Dell Networking S4048-2" sheetId="42" r:id="rId6"/>
    <sheet name="ExportSettings" sheetId="45" r:id="rId7"/>
  </sheets>
  <externalReferences>
    <externalReference r:id="rId8"/>
  </externalReferences>
  <definedNames>
    <definedName name="_192.168.120.251">'Node Inventory'!$F$42</definedName>
    <definedName name="anaconda_ip">'Node Inventory'!$F$35</definedName>
    <definedName name="cluster_nodes_configuration_file">'General Configuration'!$B$15</definedName>
    <definedName name="comma">ExportSettings!$Z$477</definedName>
    <definedName name="compute_anaconda_iface">'Network Information'!$F$33</definedName>
    <definedName name="compute_bond_opts">'Network Information'!$Q$33</definedName>
    <definedName name="compute_bond0_iface1">'Network Information'!$G$33</definedName>
    <definedName name="compute_bond0_iface2">'Network Information'!$H$33</definedName>
    <definedName name="compute_bond1_iface1">'Network Information'!$M$33</definedName>
    <definedName name="compute_bond1_iface2">'Network Information'!$N$33</definedName>
    <definedName name="compute_dpdk_bond_iface3">'Network Information'!$I$33</definedName>
    <definedName name="compute_dpdk_bond_iface4">'Network Information'!$J$33</definedName>
    <definedName name="compute_dpdk_bond_iface5">'Network Information'!$K$33</definedName>
    <definedName name="compute_dpdk_bond_iface6">'Network Information'!$L$33</definedName>
    <definedName name="compute_external_tenant_tag">'Network Information'!$E$18</definedName>
    <definedName name="compute_idrac_tag">'Network Information'!$E$25</definedName>
    <definedName name="compute_internal_tenant_tag">'Network Information'!$E$20</definedName>
    <definedName name="compute_management_tag">'Network Information'!$E$24</definedName>
    <definedName name="compute_private_api_tag">'Network Information'!$E$19</definedName>
    <definedName name="compute_private_bond">'Network Information'!$D$33</definedName>
    <definedName name="compute_provision_iface">'Network Information'!$E$33</definedName>
    <definedName name="compute_provision_tag">'Network Information'!$E$16</definedName>
    <definedName name="compute_public_bond">'Network Information'!$C$33</definedName>
    <definedName name="compute_public_tag">'Network Information'!$E$17</definedName>
    <definedName name="compute_sr_iov_bond_iface1">'Network Information'!$O$33</definedName>
    <definedName name="compute_sr_iov_bond_iface2">'Network Information'!$P$33</definedName>
    <definedName name="compute_storage_cluster_tag">'Network Information'!$E$23</definedName>
    <definedName name="compute_storage_tag">'Network Information'!$E$22</definedName>
    <definedName name="compute_tenant_tunnel_tag">'Network Information'!$E$21</definedName>
    <definedName name="controller_anaconda_iface">'Network Information'!$F$32</definedName>
    <definedName name="controller_bond_opts">'Network Information'!$Q$32</definedName>
    <definedName name="controller_bond0_iface1">'Network Information'!$G$32</definedName>
    <definedName name="controller_bond0_iface2">'Network Information'!$H$32</definedName>
    <definedName name="controller_bond1_iface1">'Network Information'!$M$32</definedName>
    <definedName name="controller_bond1_iface2">'Network Information'!$N$32</definedName>
    <definedName name="controller_dpdk_bond_iface3">'Network Information'!$I$32</definedName>
    <definedName name="controller_dpdk_bond_iface4">'Network Information'!$J$32</definedName>
    <definedName name="controller_dpdk_bond_iface5">'Network Information'!$K$32</definedName>
    <definedName name="controller_dpdk_bond_iface6">'Network Information'!$L$32</definedName>
    <definedName name="controller_external_tenant_tag">'Network Information'!$D$18</definedName>
    <definedName name="controller_idrac_tag">'Network Information'!$D$25</definedName>
    <definedName name="controller_internal_tenant_tag">'Network Information'!$D$20</definedName>
    <definedName name="controller_management_tag">'Network Information'!$D$24</definedName>
    <definedName name="controller_private_api_tag">'Network Information'!$D$19</definedName>
    <definedName name="controller_private_bond">'Network Information'!$D$32</definedName>
    <definedName name="controller_provision_iface">'Network Information'!$E$32</definedName>
    <definedName name="controller_provision_tag">'Network Information'!$D$16</definedName>
    <definedName name="controller_public_bond">'Network Information'!$C$32</definedName>
    <definedName name="controller_public_tag">'Network Information'!$D$17</definedName>
    <definedName name="controller_sr_iov_bond_iface1">'Network Information'!$O$32</definedName>
    <definedName name="controller_sr_iov_bond_iface2">'Network Information'!$P$32</definedName>
    <definedName name="controller_storage_cluster_tag">'Network Information'!$D$23</definedName>
    <definedName name="controller_storage_tag">'Network Information'!$D$22</definedName>
    <definedName name="controller_tenant_tunnel_tag">'Network Information'!$D$21</definedName>
    <definedName name="dashboard_hostname">'Node Inventory'!$A$8</definedName>
    <definedName name="dashboard_public_ip">'Node Inventory'!$F$8</definedName>
    <definedName name="dashboard_root_password">'General Configuration'!$B$20</definedName>
    <definedName name="dashboard_storage_ip">'Node Inventory'!$L$8</definedName>
    <definedName name="dellsc_api_port">'General Configuration'!$B$55</definedName>
    <definedName name="dellsc_backend_name">'General Configuration'!$B$54</definedName>
    <definedName name="dellsc_iscsi_ip_address">'General Configuration'!$B$56</definedName>
    <definedName name="dellsc_iscsi_port">'General Configuration'!$B$57</definedName>
    <definedName name="dellsc_san_ip">'General Configuration'!$B$58</definedName>
    <definedName name="dellsc_san_login">'General Configuration'!$B$59</definedName>
    <definedName name="dellsc_san_password">'General Configuration'!$B$60</definedName>
    <definedName name="dellsc_server_folder">'General Configuration'!$B$62</definedName>
    <definedName name="dellsc_ssn">'General Configuration'!$B$61</definedName>
    <definedName name="dellsc_volume_folder">'General Configuration'!$B$63</definedName>
    <definedName name="director_hostname">'Node Inventory'!$A$7</definedName>
    <definedName name="director_install_user">'General Configuration'!$B$17</definedName>
    <definedName name="director_install_user_password">'General Configuration'!$B$18</definedName>
    <definedName name="director_os_oob_management_ip">'Node Inventory'!$H$7</definedName>
    <definedName name="director_private_api_ip">'Node Inventory'!$K$7</definedName>
    <definedName name="director_provision_ip">'Node Inventory'!$I$7</definedName>
    <definedName name="director_public_ip">'Node Inventory'!$F$7</definedName>
    <definedName name="director_root_password">'General Configuration'!$B$19</definedName>
    <definedName name="director_storage_ip">'Node Inventory'!$L$7</definedName>
    <definedName name="discovery_end">'Network Information'!$E$11</definedName>
    <definedName name="discovery_start">'Network Information'!$E$10</definedName>
    <definedName name="dns_1_ip">'General Configuration'!$B$4</definedName>
    <definedName name="dns_2_ip">'General Configuration'!$B$5</definedName>
    <definedName name="dns_3_ip">'General Configuration'!$B$6</definedName>
    <definedName name="domain_name">'General Configuration'!$B$3</definedName>
    <definedName name="Drive_Speed" hidden="1">#REF!</definedName>
    <definedName name="enable_dellsc_backend">'General Configuration'!$B$53</definedName>
    <definedName name="enable_fencing">'General Configuration'!$B$24</definedName>
    <definedName name="enable_instance_ha">'General Configuration'!$B$25</definedName>
    <definedName name="enable_rbd_backend">'General Configuration'!$B$23</definedName>
    <definedName name="ESXi_Host_iDRAC_IP">'Node Inventory'!$G$3</definedName>
    <definedName name="ESXi_Host_Public_IP">'Node Inventory'!$F$3</definedName>
    <definedName name="ESXi_Host_Service_Tag">'Node Inventory'!$E$3</definedName>
    <definedName name="floating_ip_allocation_pool_end">'Network Information'!$J$9</definedName>
    <definedName name="floating_ip_allocation_pool_start">'Network Information'!$J$8</definedName>
    <definedName name="floating_ip_gateway">'Network Information'!$J$7</definedName>
    <definedName name="floating_ip_netmask">'Network Information'!$J$6</definedName>
    <definedName name="floating_ip_network">'Network Information'!$J$4</definedName>
    <definedName name="floating_ip_vlanid">'Network Information'!$J$5</definedName>
    <definedName name="Group_Name" hidden="1">[1]Names!$B$36:$B$40</definedName>
    <definedName name="HotSpare" hidden="1">#REF!</definedName>
    <definedName name="hpg_enable">'General Configuration'!$B$43</definedName>
    <definedName name="hpg_flavor_name_list">'General Configuration'!$B$45</definedName>
    <definedName name="hpg_size">'General Configuration'!$B$44</definedName>
    <definedName name="ipmi_password">'Node Inventory'!$B$44</definedName>
    <definedName name="ipmi_user">'Node Inventory'!$B$43</definedName>
    <definedName name="management_network">'Network Information'!$D$4</definedName>
    <definedName name="management_network_allocation_pool_end">'Network Information'!$D$9</definedName>
    <definedName name="management_network_allocation_pool_start">'Network Information'!$D$8</definedName>
    <definedName name="management_network_gateway">'Network Information'!$D$7</definedName>
    <definedName name="management_network_netmask">'Network Information'!$D$6</definedName>
    <definedName name="management_network_vlanid">'Network Information'!$D$5</definedName>
    <definedName name="new_ipmi_password">'Node Inventory'!$B$45</definedName>
    <definedName name="node_0_bonding_opts">'Node Inventory'!$N$9</definedName>
    <definedName name="node_0_idrac_ip">'Node Inventory'!$G$9</definedName>
    <definedName name="node_0_os_size">'Node Inventory'!$V$9</definedName>
    <definedName name="node_0_private_api_ip">'Node Inventory'!$K$9</definedName>
    <definedName name="node_0_provision_ip">'Node Inventory'!$I$9</definedName>
    <definedName name="node_0_public_ip">'Node Inventory'!$F$9</definedName>
    <definedName name="node_0_service_tag">'Node Inventory'!$E$9</definedName>
    <definedName name="node_0_storage_cluster_ip">'Node Inventory'!$M$9</definedName>
    <definedName name="node_0_storage_ip">'Node Inventory'!$L$9</definedName>
    <definedName name="node_0_tenant_tunnel_ip">'Node Inventory'!$J$9</definedName>
    <definedName name="node_1_bonding_opts">'Node Inventory'!$N$10</definedName>
    <definedName name="node_1_idrac_ip">'Node Inventory'!$G$10</definedName>
    <definedName name="node_1_os_size">'Node Inventory'!$V$10</definedName>
    <definedName name="node_1_private_api_ip">'Node Inventory'!$K$10</definedName>
    <definedName name="node_1_provision_ip">'Node Inventory'!$I$10</definedName>
    <definedName name="node_1_public_ip">'Node Inventory'!$F$10</definedName>
    <definedName name="node_1_service_tag">'Node Inventory'!$E$10</definedName>
    <definedName name="node_1_storage_cluster_ip">'Node Inventory'!$M$10</definedName>
    <definedName name="node_1_storage_ip">'Node Inventory'!$L$10</definedName>
    <definedName name="node_1_tenant_tunnel_ip">'Node Inventory'!$J$10</definedName>
    <definedName name="node_10_bonding_opts">'Node Inventory'!$N$19</definedName>
    <definedName name="node_10_idrac_ip">'Node Inventory'!$G$19</definedName>
    <definedName name="node_10_os_size">'Node Inventory'!$V$19</definedName>
    <definedName name="node_10_private_api_ip">'Node Inventory'!$K$19</definedName>
    <definedName name="node_10_provision_ip">'Node Inventory'!$I$19</definedName>
    <definedName name="node_10_public_ip">'Node Inventory'!$F$19</definedName>
    <definedName name="node_10_service_tag">'Node Inventory'!$E$19</definedName>
    <definedName name="node_10_storage_cluster_ip">'Node Inventory'!$M$19</definedName>
    <definedName name="node_10_storage_ip">'Node Inventory'!$L$19</definedName>
    <definedName name="node_10_tenant_tunnel_ip">'Node Inventory'!$J$19</definedName>
    <definedName name="node_11_bonding_opts">'Node Inventory'!$N$20</definedName>
    <definedName name="node_11_idrac_ip">'Node Inventory'!$G$20</definedName>
    <definedName name="node_11_os_size">'Node Inventory'!$V$20</definedName>
    <definedName name="node_11_private_api_ip">'Node Inventory'!$K$20</definedName>
    <definedName name="node_11_provision_ip">'Node Inventory'!$I$20</definedName>
    <definedName name="node_11_public_ip">'Node Inventory'!$F$20</definedName>
    <definedName name="node_11_service_tag">'Node Inventory'!$E$20</definedName>
    <definedName name="node_11_storage_cluster_ip">'Node Inventory'!$M$20</definedName>
    <definedName name="node_11_storage_ip">'Node Inventory'!$L$20</definedName>
    <definedName name="node_11_tenant_tunnel_ip">'Node Inventory'!$J$20</definedName>
    <definedName name="node_12_bonding_opts">'Node Inventory'!$N$21</definedName>
    <definedName name="node_12_idrac_ip">'Node Inventory'!$G$21</definedName>
    <definedName name="node_12_os_size">'Node Inventory'!$V$21</definedName>
    <definedName name="node_12_private_api_ip">'Node Inventory'!$K$21</definedName>
    <definedName name="node_12_provision_ip">'Node Inventory'!$I$21</definedName>
    <definedName name="node_12_public_ip">'Node Inventory'!$F$21</definedName>
    <definedName name="node_12_service_tag">'Node Inventory'!$E$21</definedName>
    <definedName name="node_12_storage_cluster_ip">'Node Inventory'!$M$21</definedName>
    <definedName name="node_12_storage_ip">'Node Inventory'!$L$21</definedName>
    <definedName name="node_12_tenant_tunnel_ip">'Node Inventory'!$J$21</definedName>
    <definedName name="node_13_bonding_opts">'Node Inventory'!$N$22</definedName>
    <definedName name="node_13_idrac_ip">'Node Inventory'!$G$22</definedName>
    <definedName name="node_13_os_size">'Node Inventory'!$V$22</definedName>
    <definedName name="node_13_private_api_ip">'Node Inventory'!$K$22</definedName>
    <definedName name="node_13_provision_ip">'Node Inventory'!$I$22</definedName>
    <definedName name="node_13_public_ip">'Node Inventory'!$F$22</definedName>
    <definedName name="node_13_service_tag">'Node Inventory'!$E$22</definedName>
    <definedName name="node_13_storage_cluster_ip">'Node Inventory'!$M$22</definedName>
    <definedName name="node_13_storage_ip">'Node Inventory'!$L$22</definedName>
    <definedName name="node_13_tenant_tunnel_ip">'Node Inventory'!$J$22</definedName>
    <definedName name="node_14_bonding_opts">'Node Inventory'!$N$23</definedName>
    <definedName name="node_14_idrac_ip">'Node Inventory'!$G$23</definedName>
    <definedName name="node_14_os_size">'Node Inventory'!$V$23</definedName>
    <definedName name="node_14_private_api_ip">'Node Inventory'!$K$23</definedName>
    <definedName name="node_14_provision_ip">'Node Inventory'!$I$23</definedName>
    <definedName name="node_14_public_ip">'Node Inventory'!$F$23</definedName>
    <definedName name="node_14_service_tag">'Node Inventory'!$E$23</definedName>
    <definedName name="node_14_storage_cluster_ip">'Node Inventory'!$M$23</definedName>
    <definedName name="node_14_storage_ip">'Node Inventory'!$L$23</definedName>
    <definedName name="node_14_tenant_tunnel_ip">'Node Inventory'!$J$23</definedName>
    <definedName name="node_15_bonding_opts">'Node Inventory'!$N$24</definedName>
    <definedName name="node_15_idrac_ip">'Node Inventory'!$G$24</definedName>
    <definedName name="node_15_os_size">'Node Inventory'!$V$24</definedName>
    <definedName name="node_15_private_api_ip">'Node Inventory'!$K$24</definedName>
    <definedName name="node_15_provision_ip">'Node Inventory'!$I$24</definedName>
    <definedName name="node_15_public_ip">'Node Inventory'!$F$24</definedName>
    <definedName name="node_15_service_tag">'Node Inventory'!$E$24</definedName>
    <definedName name="node_15_storage_cluster_ip">'Node Inventory'!$M$24</definedName>
    <definedName name="node_15_storage_ip">'Node Inventory'!$L$24</definedName>
    <definedName name="node_15_tenant_tunnel_ip">'Node Inventory'!$J$24</definedName>
    <definedName name="node_16_bonding_opts">'Node Inventory'!$N$25</definedName>
    <definedName name="node_16_idrac_ip">'Node Inventory'!$G$25</definedName>
    <definedName name="node_16_os_size">'Node Inventory'!$V$25</definedName>
    <definedName name="node_16_private_api_ip">'Node Inventory'!$K$25</definedName>
    <definedName name="node_16_provision_ip">'Node Inventory'!$I$25</definedName>
    <definedName name="node_16_public_ip">'Node Inventory'!$F$25</definedName>
    <definedName name="node_16_service_tag">'Node Inventory'!$E$25</definedName>
    <definedName name="node_16_storage_cluster_ip">'Node Inventory'!$M$25</definedName>
    <definedName name="node_16_storage_ip">'Node Inventory'!$L$25</definedName>
    <definedName name="node_16_tenant_tunnel_ip">'Node Inventory'!$J$25</definedName>
    <definedName name="node_17_bonding_opts">'Node Inventory'!$N$26</definedName>
    <definedName name="node_17_idrac_ip">'Node Inventory'!$G$26</definedName>
    <definedName name="node_17_os_size">'Node Inventory'!$V$26</definedName>
    <definedName name="node_17_private_api_ip">'Node Inventory'!$K$26</definedName>
    <definedName name="node_17_provision_ip">'Node Inventory'!$I$26</definedName>
    <definedName name="node_17_public_ip">'Node Inventory'!$F$26</definedName>
    <definedName name="node_17_service_tag">'Node Inventory'!$E$26</definedName>
    <definedName name="node_17_storage_cluster_ip">'Node Inventory'!$M$26</definedName>
    <definedName name="node_17_storage_ip">'Node Inventory'!$L$26</definedName>
    <definedName name="node_17_tenant_tunnel_ip">'Node Inventory'!$J$26</definedName>
    <definedName name="node_18_bonding_opts">'Node Inventory'!$N$27</definedName>
    <definedName name="node_18_idrac_ip">'Node Inventory'!$G$27</definedName>
    <definedName name="node_18_os_size">'Node Inventory'!$V$27</definedName>
    <definedName name="node_18_private_api_ip">'Node Inventory'!$K$27</definedName>
    <definedName name="node_18_provision_ip">'Node Inventory'!$I$27</definedName>
    <definedName name="node_18_public_ip">'Node Inventory'!$F$27</definedName>
    <definedName name="node_18_service_tag">'Node Inventory'!$E$27</definedName>
    <definedName name="node_18_storage_cluster_ip">'Node Inventory'!$M$27</definedName>
    <definedName name="node_18_storage_ip">'Node Inventory'!$L$27</definedName>
    <definedName name="node_18_tenant_tunnel_ip">'Node Inventory'!$J$27</definedName>
    <definedName name="node_19_bonding_opts">'Node Inventory'!$N$28</definedName>
    <definedName name="node_19_idrac_ip">'Node Inventory'!$G$28</definedName>
    <definedName name="node_19_os_size">'Node Inventory'!$V$28</definedName>
    <definedName name="node_19_private_api_ip">'Node Inventory'!$K$28</definedName>
    <definedName name="node_19_provision_ip">'Node Inventory'!$I$28</definedName>
    <definedName name="node_19_public_ip">'Node Inventory'!$F$28</definedName>
    <definedName name="node_19_service_tag">'Node Inventory'!$E$28</definedName>
    <definedName name="node_19_storage_cluster_ip">'Node Inventory'!$M$28</definedName>
    <definedName name="node_19_storage_ip">'Node Inventory'!$L$28</definedName>
    <definedName name="node_19_tenant_tunnel_ip">'Node Inventory'!$J$28</definedName>
    <definedName name="node_2_bonding_opts">'Node Inventory'!$N$11</definedName>
    <definedName name="node_2_idrac_ip">'Node Inventory'!$G$11</definedName>
    <definedName name="node_2_os_size">'Node Inventory'!$V$11</definedName>
    <definedName name="node_2_private_api_ip">'Node Inventory'!$K$11</definedName>
    <definedName name="node_2_provision_ip">'Node Inventory'!$I$11</definedName>
    <definedName name="node_2_public_ip">'Node Inventory'!$F$11</definedName>
    <definedName name="node_2_service_tag">'Node Inventory'!$E$11</definedName>
    <definedName name="node_2_storage_cluster_ip">'Node Inventory'!$M$11</definedName>
    <definedName name="node_2_storage_ip">'Node Inventory'!$L$11</definedName>
    <definedName name="node_2_tenant_tunnel_ip">'Node Inventory'!$J$11</definedName>
    <definedName name="node_3_bonding_opts">'Node Inventory'!$N$12</definedName>
    <definedName name="node_3_idrac_ip">'Node Inventory'!$G$12</definedName>
    <definedName name="node_3_os_size">'Node Inventory'!$V$12</definedName>
    <definedName name="node_3_private_api_ip">'Node Inventory'!$K$12</definedName>
    <definedName name="node_3_provision_ip">'Node Inventory'!$I$12</definedName>
    <definedName name="node_3_public_ip">'Node Inventory'!$F$12</definedName>
    <definedName name="node_3_service_tag">'Node Inventory'!$E$12</definedName>
    <definedName name="node_3_storage_cluster_ip">'Node Inventory'!$M$12</definedName>
    <definedName name="node_3_storage_ip">'Node Inventory'!$L$12</definedName>
    <definedName name="node_3_tenant_tunnel_ip">'Node Inventory'!$J$12</definedName>
    <definedName name="node_4_bonding_opts">'Node Inventory'!$N$13</definedName>
    <definedName name="node_4_idrac_ip">'Node Inventory'!$G$13</definedName>
    <definedName name="node_4_os_size">'Node Inventory'!$V$13</definedName>
    <definedName name="node_4_private_api_ip">'Node Inventory'!$K$13</definedName>
    <definedName name="node_4_provision_ip">'Node Inventory'!$I$13</definedName>
    <definedName name="node_4_public_ip">'Node Inventory'!$F$13</definedName>
    <definedName name="node_4_service_tag">'Node Inventory'!$E$13</definedName>
    <definedName name="node_4_storage_cluster_ip">'Node Inventory'!$M$13</definedName>
    <definedName name="node_4_storage_ip">'Node Inventory'!$L$13</definedName>
    <definedName name="node_4_tenant_tunnel_ip">'Node Inventory'!$J$13</definedName>
    <definedName name="node_5_bonding_opts">'Node Inventory'!$N$14</definedName>
    <definedName name="node_5_idrac_ip">'Node Inventory'!$G$14</definedName>
    <definedName name="node_5_os_size">'Node Inventory'!$V$14</definedName>
    <definedName name="node_5_private_api_ip">'Node Inventory'!$K$14</definedName>
    <definedName name="node_5_provision_ip">'Node Inventory'!$I$14</definedName>
    <definedName name="node_5_public_ip">'Node Inventory'!$F$14</definedName>
    <definedName name="node_5_service_tag">'Node Inventory'!$E$14</definedName>
    <definedName name="node_5_storage_cluster_ip">'Node Inventory'!$M$14</definedName>
    <definedName name="node_5_storage_ip">'Node Inventory'!$L$14</definedName>
    <definedName name="node_5_tenant_tunnel_ip">'Node Inventory'!$J$14</definedName>
    <definedName name="node_6_bonding_opts">'Node Inventory'!$N$15</definedName>
    <definedName name="node_6_idrac_ip">'Node Inventory'!$G$15</definedName>
    <definedName name="node_6_os_size">'Node Inventory'!$V$15</definedName>
    <definedName name="node_6_private_api_ip">'Node Inventory'!$K$15</definedName>
    <definedName name="node_6_provision_ip">'Node Inventory'!$I$15</definedName>
    <definedName name="node_6_public_ip">'Node Inventory'!$F$15</definedName>
    <definedName name="node_6_service_tag">'Node Inventory'!$E$15</definedName>
    <definedName name="node_6_storage_cluster_ip">'Node Inventory'!$M$15</definedName>
    <definedName name="node_6_storage_ip">'Node Inventory'!$L$15</definedName>
    <definedName name="node_6_tenant_tunnel_ip">'Node Inventory'!$J$15</definedName>
    <definedName name="node_7_bonding_opts">'Node Inventory'!$N$16</definedName>
    <definedName name="node_7_idrac_ip">'Node Inventory'!$G$16</definedName>
    <definedName name="node_7_os_size">'Node Inventory'!$V$16</definedName>
    <definedName name="node_7_private_api_ip">'Node Inventory'!$K$16</definedName>
    <definedName name="node_7_provision_ip">'Node Inventory'!$I$16</definedName>
    <definedName name="node_7_public_ip">'Node Inventory'!$F$16</definedName>
    <definedName name="node_7_service_tag">'Node Inventory'!$E$16</definedName>
    <definedName name="node_7_storage_cluster_ip">'Node Inventory'!$M$16</definedName>
    <definedName name="node_7_storage_ip">'Node Inventory'!$L$16</definedName>
    <definedName name="node_7_tenant_tunnel_ip">'Node Inventory'!$J$16</definedName>
    <definedName name="node_8_bonding_opts">'Node Inventory'!$N$17</definedName>
    <definedName name="node_8_idrac_ip">'Node Inventory'!$G$17</definedName>
    <definedName name="node_8_os_size">'Node Inventory'!$V$17</definedName>
    <definedName name="node_8_private_api_ip">'Node Inventory'!$K$17</definedName>
    <definedName name="node_8_provision_ip">'Node Inventory'!$I$17</definedName>
    <definedName name="node_8_public_ip">'Node Inventory'!$F$17</definedName>
    <definedName name="node_8_service_tag">'Node Inventory'!$E$17</definedName>
    <definedName name="node_8_storage_cluster_ip">'Node Inventory'!$M$17</definedName>
    <definedName name="node_8_storage_ip">'Node Inventory'!$L$17</definedName>
    <definedName name="node_8_tenant_tunnel_ip">'Node Inventory'!$J$17</definedName>
    <definedName name="node_9_bonding_opts">'Node Inventory'!$N$18</definedName>
    <definedName name="node_9_idrac_ip">'Node Inventory'!$G$18</definedName>
    <definedName name="node_9_os_size">'Node Inventory'!$V$18</definedName>
    <definedName name="node_9_private_api_ip">'Node Inventory'!$K$18</definedName>
    <definedName name="node_9_provision_ip">'Node Inventory'!$I$18</definedName>
    <definedName name="node_9_public_ip">'Node Inventory'!$F$18</definedName>
    <definedName name="node_9_service_tag">'Node Inventory'!$E$18</definedName>
    <definedName name="node_9_storage_cluster_ip">'Node Inventory'!$M$18</definedName>
    <definedName name="node_9_storage_ip">'Node Inventory'!$L$18</definedName>
    <definedName name="node_9_tenant_tunnel_ip">'Node Inventory'!$J$18</definedName>
    <definedName name="NTP_server_1_ip">'General Configuration'!$B$8</definedName>
    <definedName name="NTP_server_2_ip">'General Configuration'!$B$9</definedName>
    <definedName name="NTP_server_3_ip">'General Configuration'!$B$10</definedName>
    <definedName name="numa_enable">'General Configuration'!$B$46</definedName>
    <definedName name="numa_flavor_name_list">'General Configuration'!$B$48</definedName>
    <definedName name="numa_hostos_cpus">'General Configuration'!$B$47</definedName>
    <definedName name="Overcloud_Name">'General Configuration'!$B$2</definedName>
    <definedName name="overcloud_nodes_pwd">'General Configuration'!$B$21</definedName>
    <definedName name="overcloud_nodes_pwd_name">'General Configuration'!$A$21</definedName>
    <definedName name="overcloud_static_ips">'General Configuration'!$B$22</definedName>
    <definedName name="_xlnm.Print_Area" localSheetId="1">'Node Inventory'!$B$1:$V$48</definedName>
    <definedName name="private_api_allocation_pool_end">'Network Information'!$G$9</definedName>
    <definedName name="private_api_allocation_pool_start">'Network Information'!$G$8</definedName>
    <definedName name="private_api_gateway">'Network Information'!$G$7</definedName>
    <definedName name="private_api_netmask">'Network Information'!$G$6</definedName>
    <definedName name="private_api_network">'Network Information'!$G$4</definedName>
    <definedName name="private_api_vip">'Node Inventory'!$F$43</definedName>
    <definedName name="private_api_vlanid">'Network Information'!$G$5</definedName>
    <definedName name="provisioning_gateway">'Network Information'!$E$7</definedName>
    <definedName name="provisioning_net_dhcp_end">'Network Information'!$E$9</definedName>
    <definedName name="provisioning_net_dhcp_start">'Network Information'!$E$8</definedName>
    <definedName name="provisioning_netmask">'Network Information'!$E$6</definedName>
    <definedName name="provisioning_network">'Network Information'!$E$4</definedName>
    <definedName name="provisioning_vip">'Node Inventory'!$F$42</definedName>
    <definedName name="provisioning_vlanid">'Network Information'!$E$5</definedName>
    <definedName name="public_api_allocation_pool_end">'Network Information'!$C$9</definedName>
    <definedName name="public_api_allocation_pool_start">'Network Information'!$C$8</definedName>
    <definedName name="public_api_gateway">'Network Information'!$C$7</definedName>
    <definedName name="public_api_netmask">'Network Information'!$C$6</definedName>
    <definedName name="public_api_network">'Network Information'!$C$4</definedName>
    <definedName name="public_api_vip">'Node Inventory'!$F$44</definedName>
    <definedName name="public_api_vlanid">'Network Information'!$C$5</definedName>
    <definedName name="redis_vip">'Node Inventory'!$F$41</definedName>
    <definedName name="RHEL_JB_Public_IP">'Node Inventory'!$F$5</definedName>
    <definedName name="run_sanity">'General Configuration'!$B$26</definedName>
    <definedName name="sah_anaconda_iface">'Network Information'!$F$31</definedName>
    <definedName name="sah_bond0_iface1">'Network Information'!$G$31</definedName>
    <definedName name="sah_bond0_iface2">'Network Information'!$H$31</definedName>
    <definedName name="sah_bond1_iface1">'Network Information'!$M$31</definedName>
    <definedName name="sah_bond1_iface2">'Network Information'!$N$31</definedName>
    <definedName name="sah_bonding_opts">'Network Information'!$Q$31</definedName>
    <definedName name="sah_dpdk_bond_iface3">'Network Information'!$I$31</definedName>
    <definedName name="sah_dpdk_bond_iface4">'Network Information'!$J$31</definedName>
    <definedName name="sah_dpdk_bond_iface5">'Network Information'!$K$31</definedName>
    <definedName name="sah_dpdk_bond_iface6">'Network Information'!$L$31</definedName>
    <definedName name="sah_external_tenant_tag">'Network Information'!$C$18</definedName>
    <definedName name="sah_host_service_tag">'Node Inventory'!$E$6</definedName>
    <definedName name="sah_hostname">'Node Inventory'!$A$6</definedName>
    <definedName name="sah_idrac_ip">'Node Inventory'!$G$6</definedName>
    <definedName name="sah_idrac_tag">'Network Information'!$C$25</definedName>
    <definedName name="sah_internal_tenant_tag">'Network Information'!$C$20</definedName>
    <definedName name="sah_ipmi_password">'Node Inventory'!$B$42</definedName>
    <definedName name="sah_ipmi_user">'Node Inventory'!$B$41</definedName>
    <definedName name="sah_management_ip">'Node Inventory'!$H$6</definedName>
    <definedName name="sah_management_tag">'Network Information'!$C$24</definedName>
    <definedName name="sah_private_api_ip">'Node Inventory'!$K$6</definedName>
    <definedName name="sah_private_api_tag">'Network Information'!$C$19</definedName>
    <definedName name="sah_private_bond">'Network Information'!$D$31</definedName>
    <definedName name="sah_provision_iface">'Network Information'!$E$31</definedName>
    <definedName name="sah_provision_ip">'Node Inventory'!$I$6</definedName>
    <definedName name="sah_provision_tag">'Network Information'!$C$16</definedName>
    <definedName name="sah_public_bond">'Network Information'!$C$31</definedName>
    <definedName name="sah_public_ip">'Node Inventory'!$F$6</definedName>
    <definedName name="sah_public_tag">'Network Information'!$C$17</definedName>
    <definedName name="sah_root_password">'General Configuration'!$B$16</definedName>
    <definedName name="sah_sr_iov_bond_iface1">'Network Information'!$O$31</definedName>
    <definedName name="sah_sr_iov_bond_iface2">'Network Information'!$P$31</definedName>
    <definedName name="sah_storage_cluster_tag">'Network Information'!$C$23</definedName>
    <definedName name="sah_storage_ip">'Node Inventory'!$L$6</definedName>
    <definedName name="sah_storage_tag">'Network Information'!$C$22</definedName>
    <definedName name="sah_tenant_tunnel_tag">'Network Information'!$C$21</definedName>
    <definedName name="sah_tenants_tag">'Network Information'!$C$18</definedName>
    <definedName name="SonicWALL" hidden="1">#REF!</definedName>
    <definedName name="storage_anaconda_iface">'Network Information'!$F$34</definedName>
    <definedName name="storage_api_allocation_pool_end">'Network Information'!$H$9</definedName>
    <definedName name="storage_api_allocation_pool_start">'Network Information'!$H$8</definedName>
    <definedName name="storage_api_gateway">'Network Information'!$H$7</definedName>
    <definedName name="storage_api_netmask">'Network Information'!$H$6</definedName>
    <definedName name="storage_api_network">'Network Information'!$H$4</definedName>
    <definedName name="storage_api_vlanid">'Network Information'!$H$5</definedName>
    <definedName name="storage_bond_opts">'Network Information'!$Q$34</definedName>
    <definedName name="storage_bond0_iface1">'Network Information'!$G$34</definedName>
    <definedName name="storage_bond0_iface2">'Network Information'!$H$34</definedName>
    <definedName name="storage_bond1_iface1">'Network Information'!$M$34</definedName>
    <definedName name="storage_bond1_iface2">'Network Information'!$N$34</definedName>
    <definedName name="storage_cluster_allocation_pool_end">'Network Information'!$I$9</definedName>
    <definedName name="storage_cluster_allocation_pool_start">'Network Information'!$I$8</definedName>
    <definedName name="storage_cluster_gateway">'Network Information'!$I$7</definedName>
    <definedName name="storage_cluster_netmask">'Network Information'!$I$6</definedName>
    <definedName name="storage_cluster_network">'Network Information'!$I$4</definedName>
    <definedName name="storage_cluster_vip">'Node Inventory'!$F$46</definedName>
    <definedName name="storage_cluster_vlanid">'Network Information'!$I$5</definedName>
    <definedName name="storage_dpdk_bond_iface3">'Network Information'!$I$34</definedName>
    <definedName name="storage_dpdk_bond_iface4">'Network Information'!$J$34</definedName>
    <definedName name="storage_dpdk_bond_iface5">'Network Information'!$K$34</definedName>
    <definedName name="storage_dpdk_bond_iface6">'Network Information'!$L$34</definedName>
    <definedName name="storage_external_tenant_tag">'Network Information'!$F$18</definedName>
    <definedName name="storage_idrac_tag">'Network Information'!$F$25</definedName>
    <definedName name="storage_internal_tenant_tag">'Network Information'!$F$20</definedName>
    <definedName name="storage_management_tag">'Network Information'!$F$24</definedName>
    <definedName name="storage_private_api_tag">'Network Information'!$F$19</definedName>
    <definedName name="storage_private_bond">'Network Information'!$D$34</definedName>
    <definedName name="storage_provision_iface">'Network Information'!$E$34</definedName>
    <definedName name="storage_provision_tag">'Network Information'!$F$16</definedName>
    <definedName name="storage_public_bond">'Network Information'!$C$34</definedName>
    <definedName name="storage_public_tag">'Network Information'!$F$17</definedName>
    <definedName name="storage_sr_iov_bond_iface1">'Network Information'!$O$34</definedName>
    <definedName name="storage_sr_iov_bond_iface2">'Network Information'!$P$34</definedName>
    <definedName name="storage_storage_cluster_tag">'Network Information'!$F$23</definedName>
    <definedName name="storage_storage_tag">'Network Information'!$F$22</definedName>
    <definedName name="storage_tenant_tunnel_tag">'Network Information'!$F$21</definedName>
    <definedName name="storage_vip">'Node Inventory'!$F$45</definedName>
    <definedName name="subscription_check_retries">'General Configuration'!$B$35</definedName>
    <definedName name="subscription_manager_password">'General Configuration'!$B$34</definedName>
    <definedName name="subscription_manager_pool_sah">'General Configuration'!$B$36</definedName>
    <definedName name="subscription_manager_pool_vm_rhel">'General Configuration'!$B$37</definedName>
    <definedName name="subscription_manager_user">'General Configuration'!$B$33</definedName>
    <definedName name="subscription_manager_vm_ceph">'General Configuration'!$B$38</definedName>
    <definedName name="switch_0_firmware">'Dell Networking S3048'!$C$12</definedName>
    <definedName name="switch_0_hostname">'Dell Networking S3048'!$C$6</definedName>
    <definedName name="switch_0_ip_address">'Dell Networking S3048'!$C$10</definedName>
    <definedName name="switch_0_model_type">'Dell Networking S3048'!$C$5</definedName>
    <definedName name="switch_0_password">'Dell Networking S3048'!$C$9</definedName>
    <definedName name="switch_0_service_tag">'Dell Networking S3048'!$C$11</definedName>
    <definedName name="switch_0_speed">'Dell Networking S3048'!$C$7</definedName>
    <definedName name="switch_0_stacking">'Dell Networking S3048'!$D$18</definedName>
    <definedName name="switch_0_stp_bridge_priority">'Dell Networking S3048'!$D$16</definedName>
    <definedName name="switch_0_stp_mode">'Dell Networking S3048'!$D$14</definedName>
    <definedName name="switch_0_stp_root">'Dell Networking S3048'!$D$15</definedName>
    <definedName name="switch_0_username">'Dell Networking S3048'!$C$8</definedName>
    <definedName name="switch_0_vlt_domain_num">'Dell Networking S3048'!$D$19</definedName>
    <definedName name="switch_0_vlt_priority">'Dell Networking S3048'!$D$20</definedName>
    <definedName name="switch_0_vlt_unit_id">'Dell Networking S3048'!$D$21</definedName>
    <definedName name="switch_1_firmware">'Dell Networking S4048-1'!$C$12</definedName>
    <definedName name="switch_1_hostname">'Dell Networking S4048-1'!$C$6</definedName>
    <definedName name="switch_1_ip_address">'Dell Networking S4048-1'!$C$10</definedName>
    <definedName name="switch_1_model_type">'Dell Networking S4048-1'!$C$5</definedName>
    <definedName name="switch_1_password">'Dell Networking S4048-1'!$C$9</definedName>
    <definedName name="switch_1_service_tag">'Dell Networking S4048-1'!$C$11</definedName>
    <definedName name="switch_1_speed">'Dell Networking S4048-1'!$C$7</definedName>
    <definedName name="switch_1_stacking">'Dell Networking S4048-1'!$D$18</definedName>
    <definedName name="switch_1_stp_bridge_priority">'Dell Networking S4048-1'!$D$16</definedName>
    <definedName name="switch_1_stp_mode">'Dell Networking S4048-1'!$D$14</definedName>
    <definedName name="switch_1_stp_root">'Dell Networking S4048-1'!$D$15</definedName>
    <definedName name="switch_1_username">'Dell Networking S4048-1'!$C$8</definedName>
    <definedName name="switch_1_vlt_domain_num">'Dell Networking S4048-1'!$D$19</definedName>
    <definedName name="switch_1_vlt_priority">'Dell Networking S4048-1'!$D$20</definedName>
    <definedName name="switch_1_vlt_unit_id">'Dell Networking S4048-1'!$D$21</definedName>
    <definedName name="switch_2_firmware">'Dell Networking S4048-2'!$C$12</definedName>
    <definedName name="switch_2_hostname">'Dell Networking S4048-2'!$C$6</definedName>
    <definedName name="switch_2_ip_address">'Dell Networking S4048-2'!$C$10</definedName>
    <definedName name="switch_2_model_type">'Dell Networking S4048-2'!$C$5</definedName>
    <definedName name="switch_2_password">'Dell Networking S4048-2'!$C$9</definedName>
    <definedName name="switch_2_service_tag">'Dell Networking S4048-2'!$C$11</definedName>
    <definedName name="switch_2_speed">'Dell Networking S4048-2'!$C$7</definedName>
    <definedName name="switch_2_stacking">'Dell Networking S4048-2'!$D$18</definedName>
    <definedName name="switch_2_stp_bridge_priority">'Dell Networking S4048-2'!$D$16</definedName>
    <definedName name="switch_2_stp_mode">'Dell Networking S4048-2'!$D$14</definedName>
    <definedName name="switch_2_stp_root">'Dell Networking S4048-2'!$D$15</definedName>
    <definedName name="switch_2_username">'Dell Networking S4048-2'!$C$8</definedName>
    <definedName name="switch_2_vlt_domain_num">'Dell Networking S4048-2'!$D$19</definedName>
    <definedName name="switch_2_vlt_priority">'Dell Networking S4048-2'!$D$20</definedName>
    <definedName name="switch_2_vlt_unit_id">'Dell Networking S4048-2'!$D$21</definedName>
    <definedName name="system_timezone">'General Configuration'!$B$7</definedName>
    <definedName name="tempest_smoke_only">'General Configuration'!$B$27</definedName>
    <definedName name="tenant_tunnel_allocation_pool_end">'Network Information'!$F$9</definedName>
    <definedName name="tenant_tunnel_allocation_pool_start">'Network Information'!$F$8</definedName>
    <definedName name="tenant_tunnel_gateway">'Network Information'!$F$7</definedName>
    <definedName name="tenant_tunnel_netmask">'Network Information'!$F$6</definedName>
    <definedName name="tenant_tunnel_network">'Network Information'!$F$4</definedName>
    <definedName name="tenant_tunnel_vlanid">'Network Information'!$F$5</definedName>
    <definedName name="VLTDOMAIN">'Dell Networking S4048-1'!$D$18</definedName>
    <definedName name="Windows_JB_Public_IP">'Node Inventory'!$F$4</definedName>
    <definedName name="Z_25FC69F2_588D_4797_8983_AC3C95EDA333_.wvu.Cols" hidden="1">#REF!</definedName>
    <definedName name="Z_25FC69F2_588D_4797_8983_AC3C95EDA333_.wvu.PrintArea" localSheetId="3" hidden="1">#REF!</definedName>
    <definedName name="Z_25FC69F2_588D_4797_8983_AC3C95EDA333_.wvu.PrintArea" hidden="1">#REF!</definedName>
    <definedName name="Z_93454262_5886_459D_A441_6DB3976CE42D_.wvu.Cols" hidden="1">#REF!</definedName>
    <definedName name="Z_93454262_5886_459D_A441_6DB3976CE42D_.wvu.PrintArea" localSheetId="3" hidden="1">#REF!</definedName>
    <definedName name="Z_93454262_5886_459D_A441_6DB3976CE42D_.wvu.PrintArea" hidden="1">#REF!</definedName>
  </definedNames>
  <calcPr calcId="179017"/>
</workbook>
</file>

<file path=xl/calcChain.xml><?xml version="1.0" encoding="utf-8"?>
<calcChain xmlns="http://schemas.openxmlformats.org/spreadsheetml/2006/main">
  <c r="G1" i="44" l="1"/>
  <c r="B459" i="45"/>
  <c r="B460" i="45"/>
  <c r="B505" i="45"/>
  <c r="B504" i="45"/>
  <c r="B503" i="45"/>
  <c r="B502" i="45"/>
  <c r="B494" i="45"/>
  <c r="B493" i="45"/>
  <c r="B492" i="45"/>
  <c r="B491" i="45"/>
  <c r="B483" i="45"/>
  <c r="B482" i="45"/>
  <c r="B481" i="45"/>
  <c r="B480" i="45"/>
  <c r="B472" i="45"/>
  <c r="B471" i="45"/>
  <c r="B470" i="45"/>
  <c r="B469" i="45"/>
  <c r="B461" i="45"/>
  <c r="B458" i="45"/>
  <c r="B447" i="45"/>
  <c r="B446" i="45"/>
  <c r="B445" i="45"/>
  <c r="B444" i="45"/>
  <c r="B436" i="45"/>
  <c r="B435" i="45"/>
  <c r="B434" i="45"/>
  <c r="B433" i="45"/>
  <c r="B485" i="45"/>
  <c r="B486" i="45"/>
  <c r="B487" i="45"/>
  <c r="B425" i="45"/>
  <c r="B424" i="45"/>
  <c r="B423" i="45"/>
  <c r="B422" i="45"/>
  <c r="B599" i="45"/>
  <c r="B598" i="45"/>
  <c r="B597" i="45"/>
  <c r="B596" i="45"/>
  <c r="B595" i="45"/>
  <c r="B594" i="45"/>
  <c r="B593" i="45"/>
  <c r="B592" i="45"/>
  <c r="B591" i="45"/>
  <c r="B590" i="45"/>
  <c r="B589" i="45"/>
  <c r="B588" i="45"/>
  <c r="B587" i="45"/>
  <c r="B586" i="45"/>
  <c r="B585" i="45"/>
  <c r="B583" i="45"/>
  <c r="B582" i="45"/>
  <c r="B581" i="45"/>
  <c r="B580" i="45"/>
  <c r="B579" i="45"/>
  <c r="B578" i="45"/>
  <c r="B577" i="45"/>
  <c r="B576" i="45"/>
  <c r="B575" i="45"/>
  <c r="B574" i="45"/>
  <c r="B573" i="45"/>
  <c r="B572" i="45"/>
  <c r="B571" i="45"/>
  <c r="B570" i="45"/>
  <c r="B569" i="45"/>
  <c r="B567" i="45"/>
  <c r="B566" i="45"/>
  <c r="B565" i="45"/>
  <c r="B564" i="45"/>
  <c r="B563" i="45"/>
  <c r="B562" i="45"/>
  <c r="B561" i="45"/>
  <c r="B560" i="45"/>
  <c r="B559" i="45"/>
  <c r="B558" i="45"/>
  <c r="B557" i="45"/>
  <c r="B556" i="45"/>
  <c r="B555" i="45"/>
  <c r="B554" i="45"/>
  <c r="B553" i="45"/>
  <c r="B507" i="45" l="1"/>
  <c r="B508" i="45"/>
  <c r="N10" i="44" l="1"/>
  <c r="N11" i="44"/>
  <c r="N12" i="44"/>
  <c r="N13" i="44"/>
  <c r="N14" i="44"/>
  <c r="N15" i="44"/>
  <c r="N16" i="44"/>
  <c r="N17" i="44"/>
  <c r="N18" i="44"/>
  <c r="N19" i="44"/>
  <c r="N20" i="44"/>
  <c r="N21" i="44"/>
  <c r="N22" i="44"/>
  <c r="N23" i="44"/>
  <c r="N24" i="44"/>
  <c r="N25" i="44"/>
  <c r="N26" i="44"/>
  <c r="N27" i="44"/>
  <c r="N28" i="44"/>
  <c r="N9" i="44"/>
  <c r="B229" i="45"/>
  <c r="B35" i="45"/>
  <c r="B17" i="45"/>
  <c r="B8" i="45"/>
  <c r="B134" i="45" l="1"/>
  <c r="B151" i="45"/>
  <c r="B157" i="45"/>
  <c r="B168" i="45"/>
  <c r="B174" i="45"/>
  <c r="B185" i="45"/>
  <c r="B191" i="45"/>
  <c r="B202" i="45"/>
  <c r="B208" i="45"/>
  <c r="B219" i="45"/>
  <c r="B225" i="45"/>
  <c r="B231" i="45"/>
  <c r="B236" i="45"/>
  <c r="B242" i="45"/>
  <c r="B259" i="45"/>
  <c r="B253" i="45"/>
  <c r="B270" i="45"/>
  <c r="B276" i="45"/>
  <c r="B344" i="45"/>
  <c r="B361" i="45"/>
  <c r="B378" i="45"/>
  <c r="B369" i="45"/>
  <c r="B370" i="45"/>
  <c r="B353" i="45"/>
  <c r="B352" i="45"/>
  <c r="B336" i="45"/>
  <c r="B335" i="45"/>
  <c r="B319" i="45"/>
  <c r="B318" i="45"/>
  <c r="B302" i="45"/>
  <c r="B301" i="45"/>
  <c r="B285" i="45"/>
  <c r="B284" i="45"/>
  <c r="B117" i="45"/>
  <c r="B100" i="45"/>
  <c r="B82" i="45"/>
  <c r="B65" i="45"/>
  <c r="B48" i="45"/>
  <c r="B269" i="45" l="1"/>
  <c r="B268" i="45"/>
  <c r="B267" i="45"/>
  <c r="B265" i="45"/>
  <c r="B266" i="45"/>
  <c r="B264" i="45"/>
  <c r="B263" i="45"/>
  <c r="B262" i="45"/>
  <c r="B252" i="45"/>
  <c r="B251" i="45"/>
  <c r="B250" i="45"/>
  <c r="B248" i="45"/>
  <c r="B249" i="45"/>
  <c r="B247" i="45"/>
  <c r="B246" i="45"/>
  <c r="B245" i="45"/>
  <c r="B235" i="45"/>
  <c r="B234" i="45"/>
  <c r="B233" i="45"/>
  <c r="B232" i="45"/>
  <c r="B230" i="45"/>
  <c r="B228" i="45"/>
  <c r="B218" i="45"/>
  <c r="B217" i="45"/>
  <c r="B216" i="45"/>
  <c r="B215" i="45"/>
  <c r="B214" i="45"/>
  <c r="B213" i="45"/>
  <c r="B212" i="45"/>
  <c r="B211" i="45"/>
  <c r="B201" i="45"/>
  <c r="B200" i="45"/>
  <c r="B199" i="45"/>
  <c r="B198" i="45"/>
  <c r="B197" i="45"/>
  <c r="B196" i="45"/>
  <c r="B195" i="45"/>
  <c r="B194" i="45"/>
  <c r="B184" i="45"/>
  <c r="B183" i="45"/>
  <c r="B182" i="45"/>
  <c r="B181" i="45"/>
  <c r="B180" i="45"/>
  <c r="B179" i="45"/>
  <c r="B178" i="45"/>
  <c r="B177" i="45"/>
  <c r="B167" i="45"/>
  <c r="B166" i="45"/>
  <c r="B165" i="45"/>
  <c r="B164" i="45"/>
  <c r="B163" i="45"/>
  <c r="B162" i="45"/>
  <c r="B161" i="45"/>
  <c r="B160" i="45"/>
  <c r="B150" i="45"/>
  <c r="B149" i="45"/>
  <c r="B148" i="45"/>
  <c r="B147" i="45"/>
  <c r="B146" i="45"/>
  <c r="B145" i="45"/>
  <c r="B144" i="45"/>
  <c r="B143" i="45"/>
  <c r="B372" i="45"/>
  <c r="B371" i="45"/>
  <c r="B368" i="45"/>
  <c r="B367" i="45"/>
  <c r="B366" i="45"/>
  <c r="B365" i="45"/>
  <c r="B364" i="45"/>
  <c r="B363" i="45"/>
  <c r="B355" i="45"/>
  <c r="B354" i="45"/>
  <c r="B351" i="45"/>
  <c r="B350" i="45"/>
  <c r="B349" i="45"/>
  <c r="B348" i="45"/>
  <c r="B347" i="45"/>
  <c r="B346" i="45"/>
  <c r="B338" i="45"/>
  <c r="B337" i="45"/>
  <c r="B334" i="45"/>
  <c r="B333" i="45"/>
  <c r="B332" i="45"/>
  <c r="B331" i="45"/>
  <c r="B330" i="45"/>
  <c r="B329" i="45"/>
  <c r="B316" i="45"/>
  <c r="B315" i="45"/>
  <c r="B314" i="45"/>
  <c r="B313" i="45"/>
  <c r="B312" i="45"/>
  <c r="B304" i="45"/>
  <c r="B303" i="45"/>
  <c r="B299" i="45"/>
  <c r="B298" i="45"/>
  <c r="B297" i="45"/>
  <c r="B295" i="45"/>
  <c r="B282" i="45"/>
  <c r="B281" i="45"/>
  <c r="B280" i="45"/>
  <c r="B275" i="45"/>
  <c r="B274" i="45"/>
  <c r="B273" i="45"/>
  <c r="B272" i="45"/>
  <c r="B271" i="45"/>
  <c r="B258" i="45"/>
  <c r="B257" i="45"/>
  <c r="B256" i="45"/>
  <c r="B255" i="45"/>
  <c r="B254" i="45"/>
  <c r="B241" i="45"/>
  <c r="B240" i="45"/>
  <c r="B239" i="45"/>
  <c r="B238" i="45"/>
  <c r="B237" i="45"/>
  <c r="B224" i="45"/>
  <c r="B223" i="45"/>
  <c r="B222" i="45"/>
  <c r="B221" i="45"/>
  <c r="B220" i="45"/>
  <c r="B207" i="45"/>
  <c r="B206" i="45"/>
  <c r="B205" i="45"/>
  <c r="B204" i="45"/>
  <c r="B203" i="45"/>
  <c r="B190" i="45"/>
  <c r="B189" i="45"/>
  <c r="B188" i="45"/>
  <c r="B187" i="45"/>
  <c r="B186" i="45"/>
  <c r="B173" i="45"/>
  <c r="B172" i="45"/>
  <c r="B171" i="45"/>
  <c r="B170" i="45"/>
  <c r="B169" i="45"/>
  <c r="B156" i="45"/>
  <c r="B155" i="45"/>
  <c r="B154" i="45"/>
  <c r="B153" i="45"/>
  <c r="B152" i="45"/>
  <c r="B129" i="45"/>
  <c r="B128" i="45"/>
  <c r="B112" i="45"/>
  <c r="B111" i="45"/>
  <c r="B94" i="45"/>
  <c r="B95" i="45"/>
  <c r="B78" i="45"/>
  <c r="B61" i="45"/>
  <c r="B43" i="45"/>
  <c r="B42" i="45"/>
  <c r="B360" i="45"/>
  <c r="B359" i="45"/>
  <c r="B358" i="45"/>
  <c r="B357" i="45"/>
  <c r="B356" i="45"/>
  <c r="B343" i="45"/>
  <c r="B342" i="45"/>
  <c r="B341" i="45"/>
  <c r="B340" i="45"/>
  <c r="B339" i="45"/>
  <c r="B377" i="45"/>
  <c r="B376" i="45"/>
  <c r="B375" i="45"/>
  <c r="B374" i="45"/>
  <c r="B373" i="45"/>
  <c r="B278" i="45"/>
  <c r="B261" i="45"/>
  <c r="B244" i="45"/>
  <c r="B227" i="45"/>
  <c r="B210" i="45"/>
  <c r="B193" i="45"/>
  <c r="B176" i="45"/>
  <c r="B159" i="45"/>
  <c r="B142" i="45"/>
  <c r="B125" i="45"/>
  <c r="B108" i="45"/>
  <c r="B91" i="45"/>
  <c r="B73" i="45"/>
  <c r="B56" i="45"/>
  <c r="B39" i="45"/>
  <c r="B279" i="45"/>
  <c r="B283" i="45"/>
  <c r="B286" i="45"/>
  <c r="B287" i="45"/>
  <c r="B288" i="45"/>
  <c r="B289" i="45"/>
  <c r="B290" i="45"/>
  <c r="B291" i="45"/>
  <c r="B292" i="45"/>
  <c r="B293" i="45"/>
  <c r="B296" i="45"/>
  <c r="B66" i="45"/>
  <c r="B394" i="45"/>
  <c r="B395" i="45"/>
  <c r="B396" i="45"/>
  <c r="B397" i="45"/>
  <c r="B398" i="45"/>
  <c r="B127" i="45"/>
  <c r="B110" i="45"/>
  <c r="B93" i="45"/>
  <c r="B75" i="45"/>
  <c r="B58" i="45"/>
  <c r="B41" i="45"/>
  <c r="A21" i="44"/>
  <c r="A246" i="45" s="1"/>
  <c r="A20" i="44"/>
  <c r="A19" i="44"/>
  <c r="A18" i="44"/>
  <c r="A195" i="45" s="1"/>
  <c r="A17" i="44"/>
  <c r="A16" i="44"/>
  <c r="A15" i="44"/>
  <c r="A14" i="44"/>
  <c r="A13" i="44"/>
  <c r="A12" i="44"/>
  <c r="A22" i="44"/>
  <c r="A263" i="45" s="1"/>
  <c r="A25" i="44"/>
  <c r="A24" i="44"/>
  <c r="A23" i="44"/>
  <c r="A26" i="44"/>
  <c r="A27" i="44"/>
  <c r="A28" i="44"/>
  <c r="A11" i="44"/>
  <c r="A9" i="44"/>
  <c r="A49" i="45" s="1"/>
  <c r="A10" i="44"/>
  <c r="A211" i="45" l="1"/>
  <c r="A212" i="45"/>
  <c r="A83" i="45"/>
  <c r="A75" i="45"/>
  <c r="A371" i="45"/>
  <c r="A365" i="45"/>
  <c r="A116" i="45"/>
  <c r="A110" i="45"/>
  <c r="A350" i="45"/>
  <c r="A348" i="45"/>
  <c r="A136" i="45"/>
  <c r="A127" i="45"/>
  <c r="A343" i="45"/>
  <c r="A331" i="45"/>
  <c r="A292" i="45"/>
  <c r="A280" i="45"/>
  <c r="A174" i="45"/>
  <c r="A161" i="45"/>
  <c r="A94" i="45"/>
  <c r="A93" i="45"/>
  <c r="A153" i="45"/>
  <c r="A144" i="45"/>
  <c r="A301" i="45"/>
  <c r="A297" i="45"/>
  <c r="A191" i="45"/>
  <c r="A178" i="45"/>
  <c r="A47" i="45"/>
  <c r="A48" i="45"/>
  <c r="A41" i="45"/>
  <c r="A241" i="45"/>
  <c r="A229" i="45"/>
  <c r="A67" i="45"/>
  <c r="A58" i="45"/>
  <c r="A327" i="45"/>
  <c r="A314" i="45"/>
  <c r="A270" i="45"/>
  <c r="A210" i="45"/>
  <c r="A344" i="45"/>
  <c r="A145" i="45"/>
  <c r="A77" i="45"/>
  <c r="A154" i="45"/>
  <c r="A184" i="45"/>
  <c r="A193" i="45"/>
  <c r="A87" i="45"/>
  <c r="A128" i="45"/>
  <c r="A218" i="45"/>
  <c r="A303" i="45"/>
  <c r="A293" i="45"/>
  <c r="A349" i="45"/>
  <c r="A99" i="45"/>
  <c r="A137" i="45"/>
  <c r="A159" i="45"/>
  <c r="A227" i="45"/>
  <c r="A310" i="45"/>
  <c r="A95" i="45"/>
  <c r="A167" i="45"/>
  <c r="A235" i="45"/>
  <c r="A319" i="45"/>
  <c r="A40" i="45"/>
  <c r="A65" i="45"/>
  <c r="A176" i="45"/>
  <c r="A261" i="45"/>
  <c r="A326" i="45"/>
  <c r="A336" i="45"/>
  <c r="A68" i="45"/>
  <c r="A202" i="45"/>
  <c r="A285" i="45"/>
  <c r="A357" i="45"/>
  <c r="A363" i="45"/>
  <c r="A39" i="45"/>
  <c r="A50" i="45"/>
  <c r="A59" i="45"/>
  <c r="A69" i="45"/>
  <c r="A78" i="45"/>
  <c r="A88" i="45"/>
  <c r="A101" i="45"/>
  <c r="A119" i="45"/>
  <c r="A129" i="45"/>
  <c r="A138" i="45"/>
  <c r="A82" i="45"/>
  <c r="A146" i="45"/>
  <c r="A155" i="45"/>
  <c r="A160" i="45"/>
  <c r="A168" i="45"/>
  <c r="A177" i="45"/>
  <c r="A185" i="45"/>
  <c r="A194" i="45"/>
  <c r="A201" i="45"/>
  <c r="A225" i="45"/>
  <c r="A217" i="45"/>
  <c r="A228" i="45"/>
  <c r="A236" i="45"/>
  <c r="A245" i="45"/>
  <c r="A252" i="45"/>
  <c r="A262" i="45"/>
  <c r="A269" i="45"/>
  <c r="A278" i="45"/>
  <c r="A286" i="45"/>
  <c r="A295" i="45"/>
  <c r="A304" i="45"/>
  <c r="A312" i="45"/>
  <c r="A320" i="45"/>
  <c r="A329" i="45"/>
  <c r="A337" i="45"/>
  <c r="A346" i="45"/>
  <c r="A356" i="45"/>
  <c r="A378" i="45"/>
  <c r="A364" i="45"/>
  <c r="A42" i="45"/>
  <c r="A51" i="45"/>
  <c r="A61" i="45"/>
  <c r="A70" i="45"/>
  <c r="A80" i="45"/>
  <c r="A91" i="45"/>
  <c r="A102" i="45"/>
  <c r="A111" i="45"/>
  <c r="A121" i="45"/>
  <c r="A130" i="45"/>
  <c r="A139" i="45"/>
  <c r="A100" i="45"/>
  <c r="A147" i="45"/>
  <c r="A152" i="45"/>
  <c r="A169" i="45"/>
  <c r="A186" i="45"/>
  <c r="A208" i="45"/>
  <c r="A200" i="45"/>
  <c r="A224" i="45"/>
  <c r="A216" i="45"/>
  <c r="A237" i="45"/>
  <c r="A259" i="45"/>
  <c r="A251" i="45"/>
  <c r="A276" i="45"/>
  <c r="A268" i="45"/>
  <c r="A279" i="45"/>
  <c r="A287" i="45"/>
  <c r="A296" i="45"/>
  <c r="A305" i="45"/>
  <c r="A313" i="45"/>
  <c r="A321" i="45"/>
  <c r="A330" i="45"/>
  <c r="A338" i="45"/>
  <c r="A347" i="45"/>
  <c r="A355" i="45"/>
  <c r="A377" i="45"/>
  <c r="A244" i="45"/>
  <c r="A43" i="45"/>
  <c r="A52" i="45"/>
  <c r="A62" i="45"/>
  <c r="A71" i="45"/>
  <c r="A79" i="45"/>
  <c r="A92" i="45"/>
  <c r="A103" i="45"/>
  <c r="A112" i="45"/>
  <c r="A122" i="45"/>
  <c r="A131" i="45"/>
  <c r="A140" i="45"/>
  <c r="A117" i="45"/>
  <c r="A148" i="45"/>
  <c r="A156" i="45"/>
  <c r="A162" i="45"/>
  <c r="A170" i="45"/>
  <c r="A179" i="45"/>
  <c r="A187" i="45"/>
  <c r="A207" i="45"/>
  <c r="A199" i="45"/>
  <c r="A223" i="45"/>
  <c r="A215" i="45"/>
  <c r="A230" i="45"/>
  <c r="A238" i="45"/>
  <c r="A258" i="45"/>
  <c r="A250" i="45"/>
  <c r="A275" i="45"/>
  <c r="A267" i="45"/>
  <c r="A288" i="45"/>
  <c r="A306" i="45"/>
  <c r="A322" i="45"/>
  <c r="A339" i="45"/>
  <c r="A354" i="45"/>
  <c r="A376" i="45"/>
  <c r="A366" i="45"/>
  <c r="A118" i="45"/>
  <c r="A44" i="45"/>
  <c r="A53" i="45"/>
  <c r="A63" i="45"/>
  <c r="A73" i="45"/>
  <c r="A81" i="45"/>
  <c r="A104" i="45"/>
  <c r="A113" i="45"/>
  <c r="A123" i="45"/>
  <c r="A132" i="45"/>
  <c r="A134" i="45"/>
  <c r="A149" i="45"/>
  <c r="A157" i="45"/>
  <c r="A163" i="45"/>
  <c r="A171" i="45"/>
  <c r="A180" i="45"/>
  <c r="A188" i="45"/>
  <c r="A206" i="45"/>
  <c r="A198" i="45"/>
  <c r="A222" i="45"/>
  <c r="A214" i="45"/>
  <c r="A231" i="45"/>
  <c r="A239" i="45"/>
  <c r="A257" i="45"/>
  <c r="A249" i="45"/>
  <c r="A274" i="45"/>
  <c r="A266" i="45"/>
  <c r="A281" i="45"/>
  <c r="A289" i="45"/>
  <c r="A298" i="45"/>
  <c r="A307" i="45"/>
  <c r="A315" i="45"/>
  <c r="A323" i="45"/>
  <c r="A332" i="45"/>
  <c r="A340" i="45"/>
  <c r="A361" i="45"/>
  <c r="A353" i="45"/>
  <c r="A375" i="45"/>
  <c r="A367" i="45"/>
  <c r="A109" i="45"/>
  <c r="A368" i="45"/>
  <c r="A45" i="45"/>
  <c r="A54" i="45"/>
  <c r="A60" i="45"/>
  <c r="A74" i="45"/>
  <c r="A84" i="45"/>
  <c r="A96" i="45"/>
  <c r="A106" i="45"/>
  <c r="A114" i="45"/>
  <c r="A120" i="45"/>
  <c r="A133" i="45"/>
  <c r="A142" i="45"/>
  <c r="A150" i="45"/>
  <c r="A164" i="45"/>
  <c r="A172" i="45"/>
  <c r="A181" i="45"/>
  <c r="A190" i="45"/>
  <c r="A205" i="45"/>
  <c r="A197" i="45"/>
  <c r="A221" i="45"/>
  <c r="A213" i="45"/>
  <c r="A232" i="45"/>
  <c r="A240" i="45"/>
  <c r="A256" i="45"/>
  <c r="A248" i="45"/>
  <c r="A273" i="45"/>
  <c r="A265" i="45"/>
  <c r="A282" i="45"/>
  <c r="A290" i="45"/>
  <c r="A299" i="45"/>
  <c r="A308" i="45"/>
  <c r="A316" i="45"/>
  <c r="A324" i="45"/>
  <c r="A333" i="45"/>
  <c r="A341" i="45"/>
  <c r="A360" i="45"/>
  <c r="A352" i="45"/>
  <c r="A374" i="45"/>
  <c r="A369" i="45"/>
  <c r="A253" i="45"/>
  <c r="A46" i="45"/>
  <c r="A56" i="45"/>
  <c r="A64" i="45"/>
  <c r="A85" i="45"/>
  <c r="A97" i="45"/>
  <c r="A105" i="45"/>
  <c r="A108" i="45"/>
  <c r="A115" i="45"/>
  <c r="A126" i="45"/>
  <c r="A135" i="45"/>
  <c r="A66" i="45"/>
  <c r="A143" i="45"/>
  <c r="A151" i="45"/>
  <c r="A165" i="45"/>
  <c r="A173" i="45"/>
  <c r="A182" i="45"/>
  <c r="A189" i="45"/>
  <c r="A204" i="45"/>
  <c r="A196" i="45"/>
  <c r="A220" i="45"/>
  <c r="A233" i="45"/>
  <c r="A242" i="45"/>
  <c r="A255" i="45"/>
  <c r="A247" i="45"/>
  <c r="A272" i="45"/>
  <c r="A264" i="45"/>
  <c r="A283" i="45"/>
  <c r="A291" i="45"/>
  <c r="A300" i="45"/>
  <c r="A309" i="45"/>
  <c r="A317" i="45"/>
  <c r="A325" i="45"/>
  <c r="A334" i="45"/>
  <c r="A342" i="45"/>
  <c r="A359" i="45"/>
  <c r="A351" i="45"/>
  <c r="A373" i="45"/>
  <c r="A370" i="45"/>
  <c r="A57" i="45"/>
  <c r="A76" i="45"/>
  <c r="A86" i="45"/>
  <c r="A98" i="45"/>
  <c r="A125" i="45"/>
  <c r="A166" i="45"/>
  <c r="A183" i="45"/>
  <c r="A203" i="45"/>
  <c r="A219" i="45"/>
  <c r="A234" i="45"/>
  <c r="A254" i="45"/>
  <c r="A271" i="45"/>
  <c r="A284" i="45"/>
  <c r="A302" i="45"/>
  <c r="A318" i="45"/>
  <c r="A335" i="45"/>
  <c r="A358" i="45"/>
  <c r="A372" i="45"/>
  <c r="B77" i="45"/>
  <c r="B60" i="45"/>
  <c r="B44" i="45"/>
  <c r="B28" i="45"/>
  <c r="B29" i="45"/>
  <c r="B30" i="45" l="1"/>
  <c r="B26" i="45"/>
  <c r="B33" i="45"/>
  <c r="B23" i="45"/>
  <c r="B24" i="45"/>
  <c r="B34" i="45"/>
  <c r="B18" i="45"/>
  <c r="B16" i="45"/>
  <c r="B12" i="45"/>
  <c r="B14" i="45"/>
  <c r="B13" i="45"/>
  <c r="B10" i="45"/>
  <c r="B11" i="45"/>
  <c r="B7" i="45"/>
  <c r="B6" i="45"/>
  <c r="B3" i="45"/>
  <c r="B4" i="45"/>
  <c r="B326" i="45" l="1"/>
  <c r="B325" i="45"/>
  <c r="B324" i="45"/>
  <c r="B323" i="45"/>
  <c r="B322" i="45"/>
  <c r="B309" i="45"/>
  <c r="B308" i="45"/>
  <c r="B307" i="45"/>
  <c r="B306" i="45"/>
  <c r="B305" i="45"/>
  <c r="B391" i="45"/>
  <c r="B390" i="45"/>
  <c r="B389" i="45"/>
  <c r="B388" i="45"/>
  <c r="B387" i="45"/>
  <c r="B139" i="45"/>
  <c r="B138" i="45"/>
  <c r="B137" i="45"/>
  <c r="B136" i="45"/>
  <c r="B135" i="45"/>
  <c r="B122" i="45"/>
  <c r="B121" i="45"/>
  <c r="B120" i="45"/>
  <c r="B119" i="45"/>
  <c r="B118" i="45"/>
  <c r="B104" i="45"/>
  <c r="B103" i="45"/>
  <c r="B105" i="45"/>
  <c r="B102" i="45"/>
  <c r="B101" i="45"/>
  <c r="B384" i="45"/>
  <c r="B383" i="45"/>
  <c r="B382" i="45"/>
  <c r="B381" i="45"/>
  <c r="B380" i="45"/>
  <c r="B87" i="45"/>
  <c r="B86" i="45"/>
  <c r="B85" i="45"/>
  <c r="B84" i="45"/>
  <c r="B83" i="45"/>
  <c r="B70" i="45"/>
  <c r="B69" i="45"/>
  <c r="B68" i="45"/>
  <c r="B67" i="45"/>
  <c r="B53" i="45"/>
  <c r="B52" i="45"/>
  <c r="B51" i="45"/>
  <c r="B50" i="45"/>
  <c r="B49" i="45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28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4" i="13"/>
  <c r="M45" i="13"/>
  <c r="M46" i="13"/>
  <c r="M47" i="13"/>
  <c r="M48" i="13"/>
  <c r="M43" i="13"/>
  <c r="M33" i="13"/>
  <c r="M34" i="13"/>
  <c r="M35" i="13"/>
  <c r="M36" i="13"/>
  <c r="M37" i="13"/>
  <c r="M38" i="13"/>
  <c r="M39" i="13"/>
  <c r="M40" i="13"/>
  <c r="M41" i="13"/>
  <c r="M42" i="13"/>
  <c r="M32" i="13"/>
  <c r="M30" i="13"/>
  <c r="M31" i="13"/>
  <c r="M28" i="13"/>
  <c r="M29" i="13"/>
  <c r="L28" i="13"/>
  <c r="L5" i="13"/>
  <c r="L28" i="42"/>
  <c r="L5" i="42"/>
  <c r="L28" i="10"/>
  <c r="L5" i="10"/>
  <c r="L20" i="10"/>
  <c r="L21" i="13"/>
  <c r="L45" i="10"/>
  <c r="L48" i="42"/>
  <c r="L47" i="13"/>
  <c r="L23" i="42"/>
  <c r="L42" i="42"/>
  <c r="L41" i="42"/>
  <c r="L17" i="10"/>
  <c r="L39" i="13"/>
  <c r="L38" i="13"/>
  <c r="L37" i="10"/>
  <c r="L13" i="13"/>
  <c r="L12" i="10"/>
  <c r="L34" i="42"/>
  <c r="L33" i="42"/>
  <c r="L9" i="10"/>
  <c r="L31" i="13"/>
  <c r="L30" i="13"/>
  <c r="L6" i="13"/>
  <c r="L8" i="10" l="1"/>
  <c r="L24" i="10"/>
  <c r="L44" i="10"/>
  <c r="L39" i="42"/>
  <c r="L15" i="13"/>
  <c r="L48" i="13"/>
  <c r="L13" i="10"/>
  <c r="L25" i="10"/>
  <c r="L46" i="10"/>
  <c r="L29" i="42"/>
  <c r="L44" i="42"/>
  <c r="L16" i="13"/>
  <c r="L14" i="10"/>
  <c r="L47" i="10"/>
  <c r="L30" i="42"/>
  <c r="L45" i="42"/>
  <c r="L22" i="13"/>
  <c r="L15" i="10"/>
  <c r="L48" i="10"/>
  <c r="L31" i="42"/>
  <c r="L23" i="13"/>
  <c r="L16" i="10"/>
  <c r="L30" i="10"/>
  <c r="L35" i="42"/>
  <c r="L24" i="13"/>
  <c r="L21" i="10"/>
  <c r="L31" i="10"/>
  <c r="L36" i="42"/>
  <c r="L7" i="13"/>
  <c r="L25" i="13"/>
  <c r="L6" i="10"/>
  <c r="L22" i="10"/>
  <c r="L38" i="10"/>
  <c r="L21" i="42"/>
  <c r="L37" i="42"/>
  <c r="L8" i="13"/>
  <c r="L7" i="10"/>
  <c r="L23" i="10"/>
  <c r="L39" i="10"/>
  <c r="L25" i="42"/>
  <c r="L38" i="42"/>
  <c r="L14" i="13"/>
  <c r="L44" i="13"/>
  <c r="L32" i="13"/>
  <c r="L42" i="13"/>
  <c r="L17" i="42"/>
  <c r="L43" i="13"/>
  <c r="L18" i="13"/>
  <c r="L43" i="42"/>
  <c r="L18" i="42"/>
  <c r="L40" i="10"/>
  <c r="L34" i="13"/>
  <c r="L12" i="42"/>
  <c r="L20" i="42"/>
  <c r="L9" i="13"/>
  <c r="L17" i="13"/>
  <c r="L34" i="10"/>
  <c r="L42" i="10"/>
  <c r="L10" i="13"/>
  <c r="L36" i="13"/>
  <c r="L10" i="10"/>
  <c r="L18" i="10"/>
  <c r="L35" i="10"/>
  <c r="L43" i="10"/>
  <c r="L6" i="42"/>
  <c r="L14" i="42"/>
  <c r="L22" i="42"/>
  <c r="L32" i="42"/>
  <c r="L40" i="42"/>
  <c r="L11" i="13"/>
  <c r="L19" i="13"/>
  <c r="L29" i="13"/>
  <c r="L37" i="13"/>
  <c r="L45" i="13"/>
  <c r="L46" i="13"/>
  <c r="L9" i="42"/>
  <c r="L40" i="13"/>
  <c r="L10" i="42"/>
  <c r="L33" i="13"/>
  <c r="L41" i="13"/>
  <c r="L32" i="10"/>
  <c r="L11" i="42"/>
  <c r="L19" i="42"/>
  <c r="L33" i="10"/>
  <c r="L41" i="10"/>
  <c r="L46" i="42"/>
  <c r="L35" i="13"/>
  <c r="L13" i="42"/>
  <c r="L47" i="42"/>
  <c r="L11" i="10"/>
  <c r="L19" i="10"/>
  <c r="L36" i="10"/>
  <c r="L7" i="42"/>
  <c r="L15" i="42"/>
  <c r="L12" i="13"/>
  <c r="L20" i="13"/>
  <c r="L29" i="10"/>
  <c r="L8" i="42"/>
  <c r="L16" i="42"/>
  <c r="L24" i="42"/>
  <c r="B514" i="45" l="1"/>
  <c r="B541" i="45" l="1"/>
  <c r="B537" i="45"/>
  <c r="B534" i="45"/>
  <c r="B532" i="45"/>
  <c r="B531" i="45"/>
  <c r="B530" i="45"/>
  <c r="B529" i="45"/>
  <c r="B528" i="45"/>
  <c r="B527" i="45"/>
  <c r="B457" i="45"/>
  <c r="B522" i="45" l="1"/>
  <c r="B549" i="45"/>
  <c r="B548" i="45"/>
  <c r="B547" i="45"/>
  <c r="B546" i="45"/>
  <c r="B544" i="45"/>
  <c r="B542" i="45"/>
  <c r="B551" i="45"/>
  <c r="B550" i="45"/>
  <c r="B545" i="45"/>
  <c r="B543" i="45"/>
  <c r="B539" i="45"/>
  <c r="B538" i="45"/>
  <c r="B536" i="45"/>
  <c r="B535" i="45"/>
  <c r="B526" i="45"/>
  <c r="B525" i="45"/>
  <c r="B524" i="45"/>
  <c r="B521" i="45"/>
  <c r="B520" i="45"/>
  <c r="B21" i="45"/>
  <c r="B20" i="45"/>
  <c r="B410" i="45"/>
  <c r="B519" i="45"/>
  <c r="B518" i="45"/>
  <c r="B517" i="45"/>
  <c r="B516" i="45"/>
  <c r="B513" i="45" l="1"/>
  <c r="B515" i="45"/>
  <c r="B468" i="45"/>
  <c r="B467" i="45"/>
  <c r="B466" i="45"/>
  <c r="B465" i="45"/>
  <c r="B464" i="45"/>
  <c r="B463" i="45"/>
  <c r="B54" i="45" l="1"/>
  <c r="B71" i="45"/>
  <c r="B88" i="45"/>
  <c r="B106" i="45"/>
  <c r="B123" i="45"/>
  <c r="B140" i="45"/>
  <c r="B399" i="45" s="1"/>
  <c r="B310" i="45"/>
  <c r="B327" i="45"/>
  <c r="B510" i="45"/>
  <c r="B511" i="45"/>
  <c r="B456" i="45"/>
  <c r="B455" i="45"/>
  <c r="B454" i="45"/>
  <c r="B453" i="45"/>
  <c r="B452" i="45"/>
  <c r="B451" i="45"/>
  <c r="B450" i="45"/>
  <c r="B449" i="45"/>
  <c r="B443" i="45"/>
  <c r="B442" i="45"/>
  <c r="B441" i="45"/>
  <c r="B440" i="45"/>
  <c r="B439" i="45"/>
  <c r="B438" i="45"/>
  <c r="B479" i="45"/>
  <c r="B478" i="45"/>
  <c r="B477" i="45"/>
  <c r="B476" i="45"/>
  <c r="B475" i="45"/>
  <c r="B474" i="45"/>
  <c r="B490" i="45"/>
  <c r="B489" i="45"/>
  <c r="B488" i="45"/>
  <c r="B501" i="45"/>
  <c r="B500" i="45"/>
  <c r="B499" i="45"/>
  <c r="B498" i="45"/>
  <c r="B497" i="45"/>
  <c r="B496" i="45"/>
  <c r="B432" i="45"/>
  <c r="B431" i="45"/>
  <c r="B430" i="45"/>
  <c r="B429" i="45"/>
  <c r="B428" i="45"/>
  <c r="B427" i="45"/>
  <c r="B421" i="45"/>
  <c r="B420" i="45"/>
  <c r="B419" i="45"/>
  <c r="B418" i="45"/>
  <c r="B416" i="45"/>
  <c r="B417" i="45"/>
  <c r="B415" i="45"/>
  <c r="B392" i="45" l="1"/>
  <c r="B385" i="45"/>
  <c r="B321" i="45"/>
  <c r="B320" i="45"/>
  <c r="B317" i="45"/>
  <c r="B300" i="45"/>
  <c r="B109" i="45"/>
  <c r="B113" i="45"/>
  <c r="B114" i="45"/>
  <c r="B115" i="45"/>
  <c r="B116" i="45"/>
  <c r="B413" i="45"/>
  <c r="B412" i="45"/>
  <c r="B411" i="45"/>
  <c r="B409" i="45"/>
  <c r="B408" i="45"/>
  <c r="B406" i="45"/>
  <c r="B405" i="45"/>
  <c r="B404" i="45"/>
  <c r="B403" i="45"/>
  <c r="B402" i="45"/>
  <c r="B401" i="45"/>
  <c r="B37" i="45"/>
  <c r="B36" i="45"/>
  <c r="B27" i="45"/>
  <c r="B31" i="45"/>
  <c r="B25" i="45"/>
  <c r="B133" i="45"/>
  <c r="B132" i="45"/>
  <c r="B131" i="45"/>
  <c r="B99" i="45"/>
  <c r="B98" i="45"/>
  <c r="B97" i="45"/>
  <c r="B81" i="45"/>
  <c r="B80" i="45"/>
  <c r="B79" i="45"/>
  <c r="B64" i="45"/>
  <c r="B47" i="45"/>
  <c r="B62" i="45"/>
  <c r="B45" i="45"/>
  <c r="B63" i="45"/>
  <c r="B46" i="45"/>
  <c r="B15" i="45"/>
  <c r="B96" i="45"/>
  <c r="B130" i="45"/>
  <c r="B126" i="45"/>
  <c r="B92" i="45"/>
  <c r="B57" i="45"/>
  <c r="B59" i="45"/>
  <c r="B76" i="45"/>
  <c r="B74" i="45"/>
  <c r="B40" i="45"/>
  <c r="B9" i="45"/>
  <c r="B5" i="45"/>
  <c r="H1" i="44" l="1"/>
  <c r="M1" i="44"/>
  <c r="K1" i="44"/>
  <c r="L1" i="44"/>
  <c r="I1" i="44"/>
  <c r="N6" i="44"/>
  <c r="B19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Williams, J T</author>
  </authors>
  <commentList>
    <comment ref="K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Williams, J 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<sst xmlns="http://schemas.openxmlformats.org/spreadsheetml/2006/main" count="1530" uniqueCount="723">
  <si>
    <t>Interface</t>
  </si>
  <si>
    <t>- Empty -</t>
  </si>
  <si>
    <t>-</t>
  </si>
  <si>
    <t>LACP</t>
  </si>
  <si>
    <t>Password</t>
  </si>
  <si>
    <t>VLANs</t>
  </si>
  <si>
    <t>LAG</t>
  </si>
  <si>
    <t>Tagged</t>
  </si>
  <si>
    <t>Port</t>
  </si>
  <si>
    <t>Destination</t>
  </si>
  <si>
    <t>#</t>
  </si>
  <si>
    <t>Mode</t>
  </si>
  <si>
    <t>Device Name</t>
  </si>
  <si>
    <t>Username</t>
  </si>
  <si>
    <t>Hostname</t>
  </si>
  <si>
    <t>STP Root</t>
  </si>
  <si>
    <t>STP Bridge Priority</t>
  </si>
  <si>
    <t>Stacking/VLT</t>
  </si>
  <si>
    <t>VLT Domain #</t>
  </si>
  <si>
    <t>Name</t>
  </si>
  <si>
    <t>Connector</t>
  </si>
  <si>
    <t>VLT Unit ID</t>
  </si>
  <si>
    <t>fortyGig 1/52</t>
  </si>
  <si>
    <t>Comments</t>
  </si>
  <si>
    <t>Firmware</t>
  </si>
  <si>
    <t>System Timezone</t>
  </si>
  <si>
    <t>Internal NTP Server 1 IP (If existing)</t>
  </si>
  <si>
    <t>Internal NTP Server 2 IP (If existing)</t>
  </si>
  <si>
    <t>Internal NTP Server 3 IP (If existing)</t>
  </si>
  <si>
    <t>N/A</t>
  </si>
  <si>
    <t>Notes</t>
  </si>
  <si>
    <t>VLT Primary Priority</t>
  </si>
  <si>
    <t>STP Mode</t>
  </si>
  <si>
    <t>Domain Name</t>
  </si>
  <si>
    <t xml:space="preserve">DNS Server 1 IP </t>
  </si>
  <si>
    <t>Provisioner</t>
  </si>
  <si>
    <t>iDrac</t>
  </si>
  <si>
    <t>SAH</t>
  </si>
  <si>
    <t>Te1/1</t>
  </si>
  <si>
    <t>Te1/2</t>
  </si>
  <si>
    <t>Te1/3</t>
  </si>
  <si>
    <t>Te1/4</t>
  </si>
  <si>
    <t>Te1/5</t>
  </si>
  <si>
    <t>Te1/6</t>
  </si>
  <si>
    <t>Te1/7</t>
  </si>
  <si>
    <t>Te1/8</t>
  </si>
  <si>
    <t>Te1/9</t>
  </si>
  <si>
    <t>Te1/10</t>
  </si>
  <si>
    <t>Te1/11</t>
  </si>
  <si>
    <t>Te1/12</t>
  </si>
  <si>
    <t>Te1/13</t>
  </si>
  <si>
    <t>Te1/14</t>
  </si>
  <si>
    <t>Te1/15</t>
  </si>
  <si>
    <t>Te1/16</t>
  </si>
  <si>
    <t>Te1/17</t>
  </si>
  <si>
    <t>Te1/18</t>
  </si>
  <si>
    <t>Te1/19</t>
  </si>
  <si>
    <t>Te1/20</t>
  </si>
  <si>
    <t>Te1/21</t>
  </si>
  <si>
    <t>Te1/22</t>
  </si>
  <si>
    <t>Te1/23</t>
  </si>
  <si>
    <t>Te1/24</t>
  </si>
  <si>
    <t>Te1/25</t>
  </si>
  <si>
    <t>Te1/26</t>
  </si>
  <si>
    <t>Te1/27</t>
  </si>
  <si>
    <t>Te1/28</t>
  </si>
  <si>
    <t>Te1/29</t>
  </si>
  <si>
    <t>Te1/30</t>
  </si>
  <si>
    <t>Te1/31</t>
  </si>
  <si>
    <t>Te1/32</t>
  </si>
  <si>
    <t>Te1/33</t>
  </si>
  <si>
    <t>Te1/34</t>
  </si>
  <si>
    <t>Te1/35</t>
  </si>
  <si>
    <t>Te1/36</t>
  </si>
  <si>
    <t>Te1/37</t>
  </si>
  <si>
    <t>Te1/38</t>
  </si>
  <si>
    <t>Te1/39</t>
  </si>
  <si>
    <t>Te1/40</t>
  </si>
  <si>
    <t>Te1/41</t>
  </si>
  <si>
    <t>Te1/42</t>
  </si>
  <si>
    <t>Te1/43</t>
  </si>
  <si>
    <t>Te1/44</t>
  </si>
  <si>
    <t>Te1/45</t>
  </si>
  <si>
    <t>Te1/46</t>
  </si>
  <si>
    <t>Te1/47</t>
  </si>
  <si>
    <t>Te1/48</t>
  </si>
  <si>
    <t>fortyGig 1/49</t>
  </si>
  <si>
    <t>fortyGig 1/50</t>
  </si>
  <si>
    <t>fortyGig 1/51</t>
  </si>
  <si>
    <t>fortyGig 1/53</t>
  </si>
  <si>
    <t>fortyGig 1/54</t>
  </si>
  <si>
    <t>Te 1/48</t>
  </si>
  <si>
    <t>RSTP</t>
  </si>
  <si>
    <t>DAC-SFP-10G-1M</t>
  </si>
  <si>
    <t>DAC-QSFP-40G-0.5M</t>
  </si>
  <si>
    <t>10/100/1000BaseT</t>
  </si>
  <si>
    <t>DAC-SFP-10G-3M</t>
  </si>
  <si>
    <t>Uplink S4048-1</t>
  </si>
  <si>
    <t>Uplink S3048</t>
  </si>
  <si>
    <t>Uplink S4048-2</t>
  </si>
  <si>
    <t>Static</t>
  </si>
  <si>
    <t>STACK UNIT 2</t>
  </si>
  <si>
    <t>Network</t>
  </si>
  <si>
    <t>OpenStack Controller</t>
  </si>
  <si>
    <t>OpenStack Compute</t>
  </si>
  <si>
    <t>Not Connected</t>
  </si>
  <si>
    <t>Red Hat Ceph Storage</t>
  </si>
  <si>
    <t>S4048-1</t>
  </si>
  <si>
    <t>S4048-2</t>
  </si>
  <si>
    <t>Gi 1/1</t>
  </si>
  <si>
    <t>Gi 1/2</t>
  </si>
  <si>
    <t>Gi 1/3</t>
  </si>
  <si>
    <t>Gi 1/4</t>
  </si>
  <si>
    <t>Gi 1/5</t>
  </si>
  <si>
    <t>Gi 1/6</t>
  </si>
  <si>
    <t>Gi 1/7</t>
  </si>
  <si>
    <t>Gi 1/8</t>
  </si>
  <si>
    <t>Gi 1/9</t>
  </si>
  <si>
    <t>Gi 1/10</t>
  </si>
  <si>
    <t>Gi 1/11</t>
  </si>
  <si>
    <t>Gi 1/12</t>
  </si>
  <si>
    <t>Gi 1/13</t>
  </si>
  <si>
    <t>Gi 1/14</t>
  </si>
  <si>
    <t>Gi 1/15</t>
  </si>
  <si>
    <t>Gi 1/16</t>
  </si>
  <si>
    <t>Gi 1/17</t>
  </si>
  <si>
    <t>Gi 1/18</t>
  </si>
  <si>
    <t>Gi 1/19</t>
  </si>
  <si>
    <t>Gi 1/20</t>
  </si>
  <si>
    <t>Gi 1/21</t>
  </si>
  <si>
    <t>Gi 1/22</t>
  </si>
  <si>
    <t>Gi 1/23</t>
  </si>
  <si>
    <t>Gi 1/24</t>
  </si>
  <si>
    <t>Gi 1/25</t>
  </si>
  <si>
    <t>Gi 1/26</t>
  </si>
  <si>
    <t>Gi 1/27</t>
  </si>
  <si>
    <t>Gi 1/28</t>
  </si>
  <si>
    <t>Gi 1/29</t>
  </si>
  <si>
    <t>Gi 1/30</t>
  </si>
  <si>
    <t>Gi 1/31</t>
  </si>
  <si>
    <t>Gi 1/32</t>
  </si>
  <si>
    <t>Gi 1/33</t>
  </si>
  <si>
    <t>Gi 1/34</t>
  </si>
  <si>
    <t>Gi 1/35</t>
  </si>
  <si>
    <t>Gi 1/36</t>
  </si>
  <si>
    <t>Gi 1/37</t>
  </si>
  <si>
    <t>Gi 1/38</t>
  </si>
  <si>
    <t>Gi 1/39</t>
  </si>
  <si>
    <t>Gi 1/40</t>
  </si>
  <si>
    <t>Gi 1/41</t>
  </si>
  <si>
    <t>Gi 1/42</t>
  </si>
  <si>
    <t>Gi 1/43</t>
  </si>
  <si>
    <t>Gi 1/44</t>
  </si>
  <si>
    <t>Gi 1/45</t>
  </si>
  <si>
    <t>Gi 1/46</t>
  </si>
  <si>
    <t>Gi 1/47</t>
  </si>
  <si>
    <t>Gi 1/48</t>
  </si>
  <si>
    <t>Te1/49</t>
  </si>
  <si>
    <t>Te1/51</t>
  </si>
  <si>
    <t>Te1/52</t>
  </si>
  <si>
    <t>Te 1/50</t>
  </si>
  <si>
    <t>Management 1/1</t>
  </si>
  <si>
    <t>Te 1/51</t>
  </si>
  <si>
    <t>Optional</t>
  </si>
  <si>
    <t>Customer Uplink</t>
  </si>
  <si>
    <t xml:space="preserve">Optional </t>
  </si>
  <si>
    <t>n/a</t>
  </si>
  <si>
    <t>Te 1/52</t>
  </si>
  <si>
    <t>40G Uplink to Site</t>
  </si>
  <si>
    <t>S3048-1</t>
  </si>
  <si>
    <t>1G Public API Access</t>
  </si>
  <si>
    <t>Using IP on VLAN 110</t>
  </si>
  <si>
    <t>STACK UNIT 1</t>
  </si>
  <si>
    <t>Hardware</t>
  </si>
  <si>
    <t>Service Tag</t>
  </si>
  <si>
    <t>CPU</t>
  </si>
  <si>
    <t>RAM</t>
  </si>
  <si>
    <t>256GB</t>
  </si>
  <si>
    <t>192.168.110.7</t>
  </si>
  <si>
    <t>192.168.120.7</t>
  </si>
  <si>
    <t>192.168.140.7</t>
  </si>
  <si>
    <t>192.168.170.7</t>
  </si>
  <si>
    <t>64GB</t>
  </si>
  <si>
    <t>192.168.110.8</t>
  </si>
  <si>
    <t>192.168.120.8</t>
  </si>
  <si>
    <t>192.168.170.8</t>
  </si>
  <si>
    <t>192.168.110.9</t>
  </si>
  <si>
    <t>192.168.110.109</t>
  </si>
  <si>
    <t>192.168.120.9</t>
  </si>
  <si>
    <t>192.168.170.9</t>
  </si>
  <si>
    <t>VM on SAH</t>
  </si>
  <si>
    <t>192.168.110.110</t>
  </si>
  <si>
    <t>192.168.120.10</t>
  </si>
  <si>
    <t>192.168.170.10</t>
  </si>
  <si>
    <t>192.168.170.11</t>
  </si>
  <si>
    <t>192.168.110.12</t>
  </si>
  <si>
    <t>DHCP</t>
  </si>
  <si>
    <t>192.168.110.13</t>
  </si>
  <si>
    <t>192.168.110.14</t>
  </si>
  <si>
    <t>192.168.110.15</t>
  </si>
  <si>
    <t>192.168.110.16</t>
  </si>
  <si>
    <t>192.168.110.17</t>
  </si>
  <si>
    <t>192.168.110.18</t>
  </si>
  <si>
    <t>192.168.110.19</t>
  </si>
  <si>
    <t>192.168.110.20</t>
  </si>
  <si>
    <t>sah</t>
  </si>
  <si>
    <t>VM on Stamp host1</t>
  </si>
  <si>
    <t>Stamp's host</t>
  </si>
  <si>
    <t xml:space="preserve">Red Hat Director </t>
  </si>
  <si>
    <t>Red Hat Storage Console</t>
  </si>
  <si>
    <t>Name*</t>
  </si>
  <si>
    <t>OS access to OOB</t>
  </si>
  <si>
    <t xml:space="preserve"> iDRAC's IP</t>
  </si>
  <si>
    <t>Management/OOB Network VLAN</t>
  </si>
  <si>
    <t>em3</t>
  </si>
  <si>
    <t>em4</t>
  </si>
  <si>
    <t xml:space="preserve">Port </t>
  </si>
  <si>
    <t>192.168.110.0/24</t>
  </si>
  <si>
    <t>192.168.120.0/24</t>
  </si>
  <si>
    <t>Tenant-Tunneling GRE/VXLAN</t>
  </si>
  <si>
    <t>192.168.130.0/24</t>
  </si>
  <si>
    <t>192.168.140.0/24</t>
  </si>
  <si>
    <t>192.168.170.0/24</t>
  </si>
  <si>
    <t>192.168.180.0/24</t>
  </si>
  <si>
    <t>sah-Anaconda IP</t>
  </si>
  <si>
    <t>SAH Anaconda NIC</t>
  </si>
  <si>
    <t>switchport</t>
  </si>
  <si>
    <t>R730xd-Proto</t>
  </si>
  <si>
    <t>fw: 9.11.2.2</t>
  </si>
  <si>
    <t>R640#1</t>
  </si>
  <si>
    <t xml:space="preserve"> </t>
  </si>
  <si>
    <t>192.168.140.12</t>
  </si>
  <si>
    <t>192.168.140.13</t>
  </si>
  <si>
    <t>192.168.140.14</t>
  </si>
  <si>
    <t>192.168.140.15</t>
  </si>
  <si>
    <t>192.168.140.16</t>
  </si>
  <si>
    <t>192.168.140.17</t>
  </si>
  <si>
    <t>192.168.170.12</t>
  </si>
  <si>
    <t>192.168.170.13</t>
  </si>
  <si>
    <t>192.168.170.14</t>
  </si>
  <si>
    <t>192.168.170.15</t>
  </si>
  <si>
    <t>192.168.170.16</t>
  </si>
  <si>
    <t>192.168.170.17</t>
  </si>
  <si>
    <t>192.168.170.18</t>
  </si>
  <si>
    <t>192.168.170.19</t>
  </si>
  <si>
    <t>192.168.170.20</t>
  </si>
  <si>
    <t>RAID10</t>
  </si>
  <si>
    <t xml:space="preserve">RAID1 </t>
  </si>
  <si>
    <t>54RSHK2</t>
  </si>
  <si>
    <t>54Q0JK2</t>
  </si>
  <si>
    <t>54QRHK2</t>
  </si>
  <si>
    <t>54Q1JK2</t>
  </si>
  <si>
    <t>54QSHK2</t>
  </si>
  <si>
    <t>54QTHK2</t>
  </si>
  <si>
    <t>54QVHK2</t>
  </si>
  <si>
    <t>HG5YHK2</t>
  </si>
  <si>
    <t>HG60JK2</t>
  </si>
  <si>
    <t>HG5ZHK2</t>
  </si>
  <si>
    <t>FG8VV12</t>
  </si>
  <si>
    <t>2BH6XC2</t>
  </si>
  <si>
    <t>GLS6XC2</t>
  </si>
  <si>
    <t>7CZRG02</t>
  </si>
  <si>
    <t>Statis VIPs</t>
  </si>
  <si>
    <t>redis_vip</t>
  </si>
  <si>
    <t>provisioning_vip</t>
  </si>
  <si>
    <t>private_api_vip</t>
  </si>
  <si>
    <t>public_api_vip</t>
  </si>
  <si>
    <t>storage_vip</t>
  </si>
  <si>
    <t>storage_cluster_vip</t>
  </si>
  <si>
    <t>192.168.140.251</t>
  </si>
  <si>
    <t>192.168.120.251</t>
  </si>
  <si>
    <t>192.168.140.252</t>
  </si>
  <si>
    <t>192.168.170.251</t>
  </si>
  <si>
    <t>192.168.120.252</t>
  </si>
  <si>
    <t>subscription_manager_user</t>
  </si>
  <si>
    <t>subscription_manager_password</t>
  </si>
  <si>
    <t>subscription_manager_pool_sah</t>
  </si>
  <si>
    <t>subscription_manager_pool_vm_rhel</t>
  </si>
  <si>
    <t>subscription_manager_vm_ceph</t>
  </si>
  <si>
    <t>8a85f98c6183a108016188e199ed32a2</t>
  </si>
  <si>
    <t>8a85f98c6183a108016188e19b3f32a5</t>
  </si>
  <si>
    <t>8a85f98c6183a108016188e1b6a432a8</t>
  </si>
  <si>
    <t>192GB</t>
  </si>
  <si>
    <t>(2) Intel Xeon 6126 CPU @ 2.60GHz (24 TCs)</t>
  </si>
  <si>
    <t>iDRAC (LCC) FW</t>
  </si>
  <si>
    <t>3.15.17.15</t>
  </si>
  <si>
    <t>18.3.6</t>
  </si>
  <si>
    <t>Intel NIC X710 Fw</t>
  </si>
  <si>
    <t>RAID Type for OS</t>
  </si>
  <si>
    <t>BIOS Fw</t>
  </si>
  <si>
    <t>(2) Intel Xeon 6140 CPU @ 2.30GHz (36 TCs)</t>
  </si>
  <si>
    <t>22 (2/16/4)</t>
  </si>
  <si>
    <t>Physical Drives  # (OS, OSD, JRNL)</t>
  </si>
  <si>
    <t>8 (8/0/0)</t>
  </si>
  <si>
    <t>1.3.7</t>
  </si>
  <si>
    <t>192.168.130.12</t>
  </si>
  <si>
    <t>192.168.130.13</t>
  </si>
  <si>
    <t>192.168.130.14</t>
  </si>
  <si>
    <t>192.168.130.15</t>
  </si>
  <si>
    <t>192.168.130.16</t>
  </si>
  <si>
    <t>192.168.130.17</t>
  </si>
  <si>
    <t>Value</t>
  </si>
  <si>
    <t>public_api_network</t>
  </si>
  <si>
    <t>public_api_vlanid</t>
  </si>
  <si>
    <t>public_api_gateway</t>
  </si>
  <si>
    <t>public_api_netmask</t>
  </si>
  <si>
    <t>public_api_allocation_pool_start</t>
  </si>
  <si>
    <t>public_api_allocation_pool_end</t>
  </si>
  <si>
    <t>name_server</t>
  </si>
  <si>
    <t>private_api_network</t>
  </si>
  <si>
    <t>private_api_vlanid</t>
  </si>
  <si>
    <t>private_api_gateway</t>
  </si>
  <si>
    <t>private_api_netmask</t>
  </si>
  <si>
    <t>private_api_allocation_pool_start</t>
  </si>
  <si>
    <t>private_api_allocation_pool_end</t>
  </si>
  <si>
    <t>provisioning_network</t>
  </si>
  <si>
    <t>provisioning_gateway</t>
  </si>
  <si>
    <t>provisioning_netmask</t>
  </si>
  <si>
    <t>provisioning_net_dhcp_start</t>
  </si>
  <si>
    <t>provisioning_net_dhcp_end</t>
  </si>
  <si>
    <t>storage_cluster_network</t>
  </si>
  <si>
    <t>storage_cluster_vlanid</t>
  </si>
  <si>
    <t>storage_cluster_netmask</t>
  </si>
  <si>
    <t>storage_cluster_allocation_pool_start</t>
  </si>
  <si>
    <t>storage_cluster_allocation_pool_end</t>
  </si>
  <si>
    <t>discovery_start</t>
  </si>
  <si>
    <t>discovery_end</t>
  </si>
  <si>
    <t>management_network</t>
  </si>
  <si>
    <t>tenant_tunnel_network</t>
  </si>
  <si>
    <t>tenant_tunnel_network_vlanid</t>
  </si>
  <si>
    <t>tenant_tunnel_network_gateway</t>
  </si>
  <si>
    <t>tenant_tunnel_network_netmask</t>
  </si>
  <si>
    <t>tenant_tunnel_network_allocation_pool_start</t>
  </si>
  <si>
    <t>tenant_tunnel_network_allocation_pool_end</t>
  </si>
  <si>
    <t>tenant_vlan_start</t>
  </si>
  <si>
    <t>tenant_vlan_end</t>
  </si>
  <si>
    <t xml:space="preserve">PublicAPI-VLAN-393 (NET) </t>
  </si>
  <si>
    <t>255.255.255.192</t>
  </si>
  <si>
    <t>255.255.255.0</t>
  </si>
  <si>
    <t>192.168.120.1</t>
  </si>
  <si>
    <t>192.168.120.12</t>
  </si>
  <si>
    <t>192.168.120.50</t>
  </si>
  <si>
    <t>192.168.120.200</t>
  </si>
  <si>
    <t>192.168.120.150</t>
  </si>
  <si>
    <t>192.168.110.1</t>
  </si>
  <si>
    <t>192.168.140.150</t>
  </si>
  <si>
    <t>192.168.140.200</t>
  </si>
  <si>
    <t>192.168.170.150</t>
  </si>
  <si>
    <t>192.168.170.200</t>
  </si>
  <si>
    <t>192.168.110.22</t>
  </si>
  <si>
    <t>192.168.110.40</t>
  </si>
  <si>
    <t>192.168.130.150</t>
  </si>
  <si>
    <t>192.168.130.1</t>
  </si>
  <si>
    <t>192.168.130.200</t>
  </si>
  <si>
    <t>vCenter</t>
  </si>
  <si>
    <t>100.82.32.20</t>
  </si>
  <si>
    <t>vCenter Login =  oss\first.lastname  / Dell0SS!</t>
  </si>
  <si>
    <t>storage_cluster_gateway</t>
  </si>
  <si>
    <t>p2p1</t>
  </si>
  <si>
    <t>p2p2</t>
  </si>
  <si>
    <t>Bonding Opts</t>
  </si>
  <si>
    <t>America/Chicago</t>
  </si>
  <si>
    <t>192.168.180.150</t>
  </si>
  <si>
    <t>192.168.180.200</t>
  </si>
  <si>
    <t>sah_service_tag</t>
  </si>
  <si>
    <t>sah_idrac_ip</t>
  </si>
  <si>
    <t>sah_public_ip</t>
  </si>
  <si>
    <t>sah_provisioning_ip</t>
  </si>
  <si>
    <t>director_storage_ip</t>
  </si>
  <si>
    <t>director_public_ip</t>
  </si>
  <si>
    <t>director_os_oob_management_ip</t>
  </si>
  <si>
    <t>dashboard_public_ip</t>
  </si>
  <si>
    <t>dashboard_storage_ip</t>
  </si>
  <si>
    <t>Exported Name</t>
  </si>
  <si>
    <t>floating_ip_network</t>
  </si>
  <si>
    <t>floating_ip_network_gateway</t>
  </si>
  <si>
    <t>floating_ip_network_netmask</t>
  </si>
  <si>
    <t>anaconda_interface</t>
  </si>
  <si>
    <t>anaconda_ip</t>
  </si>
  <si>
    <t>storage_network</t>
  </si>
  <si>
    <t>storage_vlanid</t>
  </si>
  <si>
    <t>storage_allocation_pool_start</t>
  </si>
  <si>
    <t>storage_allocation_pool_end</t>
  </si>
  <si>
    <t>storage_netmask</t>
  </si>
  <si>
    <t>storage_gateway</t>
  </si>
  <si>
    <t>management_allocation_pool_start</t>
  </si>
  <si>
    <t>management_vlanid</t>
  </si>
  <si>
    <t>management_gateway</t>
  </si>
  <si>
    <t>management_netmask</t>
  </si>
  <si>
    <t>management_allocation_pool_end</t>
  </si>
  <si>
    <t>floating_ip_network_vlan</t>
  </si>
  <si>
    <t>floating_ip_network_start_ip</t>
  </si>
  <si>
    <t>floating_ip_network_end_ip</t>
  </si>
  <si>
    <t>Overcloud Name</t>
  </si>
  <si>
    <t>overcloud_name</t>
  </si>
  <si>
    <t>domain</t>
  </si>
  <si>
    <t>ControllerBondInterfaceOptions</t>
  </si>
  <si>
    <t>ControllerProvisioningInterface</t>
  </si>
  <si>
    <t>ControllerBond0Interface1</t>
  </si>
  <si>
    <t>ControllerBond0Interface2</t>
  </si>
  <si>
    <t>ControllerBond1Interface1</t>
  </si>
  <si>
    <t>ControllerBond1Interface2</t>
  </si>
  <si>
    <t>ComputeProvisioningInterface</t>
  </si>
  <si>
    <t>ComputeBond0Interface1</t>
  </si>
  <si>
    <t>ComputeBond0Interface2</t>
  </si>
  <si>
    <t>ComputeBond1Interface1</t>
  </si>
  <si>
    <t>ComputeBond1Interface2</t>
  </si>
  <si>
    <t>ComputeBondInterfaceOptions</t>
  </si>
  <si>
    <t>StorageProvisioningInterface</t>
  </si>
  <si>
    <t>StorageBond0Interface1</t>
  </si>
  <si>
    <t>StorageBond0Interface2</t>
  </si>
  <si>
    <t>StorageBond1Interface1</t>
  </si>
  <si>
    <t>StorageBond1Interface2</t>
  </si>
  <si>
    <t>StorageBondInterfaceOptions</t>
  </si>
  <si>
    <t>mode=802.3ad miimon=100 xmit_hash_policy=layer3+4 lacp_rate=1</t>
  </si>
  <si>
    <t>0.centos.pool.ntp.org</t>
  </si>
  <si>
    <t>2.centos.pool.ntp.org</t>
  </si>
  <si>
    <t>1.centos.pool.ntp.org</t>
  </si>
  <si>
    <t>time_zone</t>
  </si>
  <si>
    <t>,</t>
  </si>
  <si>
    <t>ntp_server_1_ip</t>
  </si>
  <si>
    <t>ntp_server_2_ip</t>
  </si>
  <si>
    <t>ntp_server_3_ip</t>
  </si>
  <si>
    <t>subscription_check_retries</t>
  </si>
  <si>
    <t>sah_ipmi_user</t>
  </si>
  <si>
    <t>sah_ipmi_password</t>
  </si>
  <si>
    <t>ipmi_user</t>
  </si>
  <si>
    <t>ipmi_password</t>
  </si>
  <si>
    <t>root</t>
  </si>
  <si>
    <t>new_ipmi_password</t>
  </si>
  <si>
    <t>IPMI Credentials</t>
  </si>
  <si>
    <t>hpg_enable=True</t>
  </si>
  <si>
    <t>cluster_nodes_configuration_file</t>
  </si>
  <si>
    <t>director_install_user</t>
  </si>
  <si>
    <t>director_install_user_password</t>
  </si>
  <si>
    <t>overcloud_static_ips</t>
  </si>
  <si>
    <t>enable_rbd_backend</t>
  </si>
  <si>
    <t>enable_fencing</t>
  </si>
  <si>
    <t>run_sanity</t>
  </si>
  <si>
    <t>enable_instance_ha</t>
  </si>
  <si>
    <t>tempest_smoke_only</t>
  </si>
  <si>
    <t>0,1,2,3,4,5,6,7</t>
  </si>
  <si>
    <t>m1.small,m1.xlarge,m1.hpg,m1.large</t>
  </si>
  <si>
    <t>m1.large,m1.numa</t>
  </si>
  <si>
    <t>numa_flavor_name_list</t>
  </si>
  <si>
    <t>hpg_flavor_name_list</t>
  </si>
  <si>
    <t>numa_enable</t>
  </si>
  <si>
    <t>numa_hostos_cpus</t>
  </si>
  <si>
    <t>Storage Backend Settings</t>
  </si>
  <si>
    <t>cmpl_iscsi_servers</t>
  </si>
  <si>
    <t>cmpl_iscsi_volumes</t>
  </si>
  <si>
    <t>enable_dellsc_backend</t>
  </si>
  <si>
    <t>dellsc_backend_name</t>
  </si>
  <si>
    <t>dellsc_api_port</t>
  </si>
  <si>
    <t>dellsc_iscsi_ip_address</t>
  </si>
  <si>
    <t xml:space="preserve">dellsc_iscsi_port </t>
  </si>
  <si>
    <t>dellsc_san_ip</t>
  </si>
  <si>
    <t>dellsc_san_login</t>
  </si>
  <si>
    <t>dellsc_san_password</t>
  </si>
  <si>
    <t>dellsc_server_folder</t>
  </si>
  <si>
    <t>dellsc_volume_folder</t>
  </si>
  <si>
    <t>dellsc_ssn</t>
  </si>
  <si>
    <t>hpg_size</t>
  </si>
  <si>
    <t>hpg_enable</t>
  </si>
  <si>
    <t>discovery_ip_range</t>
  </si>
  <si>
    <t>overcloud_nodes_pwd</t>
  </si>
  <si>
    <t>2MB</t>
  </si>
  <si>
    <t xml:space="preserve">DNS Server 2 IP </t>
  </si>
  <si>
    <t xml:space="preserve">DNS Server 3 IP </t>
  </si>
  <si>
    <t>Attribute</t>
  </si>
  <si>
    <t>Attribute Value</t>
  </si>
  <si>
    <t>NFV Features</t>
  </si>
  <si>
    <t>Subscription Manager Account Info</t>
  </si>
  <si>
    <t>Node Number</t>
  </si>
  <si>
    <t>Controller</t>
  </si>
  <si>
    <t>Compute</t>
  </si>
  <si>
    <t>192.168.110.21</t>
  </si>
  <si>
    <t>192.168.110.23</t>
  </si>
  <si>
    <t>192.168.110.24</t>
  </si>
  <si>
    <t>192.168.110.25</t>
  </si>
  <si>
    <t>Storage</t>
  </si>
  <si>
    <t>192.168.110.26</t>
  </si>
  <si>
    <t>192.168.110.27</t>
  </si>
  <si>
    <t>192.168.110.28</t>
  </si>
  <si>
    <t>192.168.110.29</t>
  </si>
  <si>
    <t>192.168.110.30</t>
  </si>
  <si>
    <t>192.168.110.31</t>
  </si>
  <si>
    <t>Role</t>
  </si>
  <si>
    <t>DAC-SFP-10G-5M</t>
  </si>
  <si>
    <t>Node Type</t>
  </si>
  <si>
    <t>Bond0-NIC1</t>
  </si>
  <si>
    <t>Bond0-NIC2</t>
  </si>
  <si>
    <t>Bond1-NIC2</t>
  </si>
  <si>
    <t>SR-IOV-Bond-NIC1</t>
  </si>
  <si>
    <t>SR-IOV-Bond-NIC2</t>
  </si>
  <si>
    <t>NA</t>
  </si>
  <si>
    <t>Bond1-NIC1</t>
  </si>
  <si>
    <t>em1</t>
  </si>
  <si>
    <t>p1p1</t>
  </si>
  <si>
    <t>em2</t>
  </si>
  <si>
    <t>p1p2</t>
  </si>
  <si>
    <r>
      <rPr>
        <b/>
        <vertAlign val="superscript"/>
        <sz val="11"/>
        <color theme="1"/>
        <rFont val="Calibri"/>
        <family val="2"/>
        <scheme val="minor"/>
      </rPr>
      <t xml:space="preserve">1 </t>
    </r>
    <r>
      <rPr>
        <b/>
        <sz val="11"/>
        <color theme="1"/>
        <rFont val="Calibri"/>
        <family val="2"/>
        <scheme val="minor"/>
      </rPr>
      <t>(The 1Gbe port is used for provisioning the during its installation only and can be disconnected afterwards)</t>
    </r>
  </si>
  <si>
    <t>WJP1vm</t>
  </si>
  <si>
    <t>RHJP1vm</t>
  </si>
  <si>
    <t>Linux Bastian</t>
  </si>
  <si>
    <t>Win10 Bastian</t>
  </si>
  <si>
    <t>sah_hostname</t>
  </si>
  <si>
    <t>sah_root_password</t>
  </si>
  <si>
    <t>sah_anaconda_ip</t>
  </si>
  <si>
    <t>sah_anaconda_iface</t>
  </si>
  <si>
    <t>Public Bond</t>
  </si>
  <si>
    <t>Private Bond</t>
  </si>
  <si>
    <t>bond1</t>
  </si>
  <si>
    <t>bond0</t>
  </si>
  <si>
    <t>sah_public_bond</t>
  </si>
  <si>
    <t>sah_public_slaves</t>
  </si>
  <si>
    <t>DPDK-Bond-Nic3</t>
  </si>
  <si>
    <t>DPDK-Bond-Nic4</t>
  </si>
  <si>
    <t>DPDK-Bond-Nic5</t>
  </si>
  <si>
    <t>DPDK-Bond-Nic6</t>
  </si>
  <si>
    <t>sah_public_api_ip</t>
  </si>
  <si>
    <t>sah_private_slaves</t>
  </si>
  <si>
    <t>sah_private_bond</t>
  </si>
  <si>
    <t>sah_management_ip</t>
  </si>
  <si>
    <t>sah_storage_ip</t>
  </si>
  <si>
    <t>sah_private_api_ip</t>
  </si>
  <si>
    <t>director_root_password</t>
  </si>
  <si>
    <t>dashboard_root_password</t>
  </si>
  <si>
    <t>director_hostname</t>
  </si>
  <si>
    <t>dashboard_hostname</t>
  </si>
  <si>
    <t>director</t>
  </si>
  <si>
    <t>dashboard</t>
  </si>
  <si>
    <t>director_private_api_ip</t>
  </si>
  <si>
    <t>director_public_api_ip</t>
  </si>
  <si>
    <t>192.168.140.10</t>
  </si>
  <si>
    <t>VLanID</t>
  </si>
  <si>
    <t>NetMask</t>
  </si>
  <si>
    <t>Gateway</t>
  </si>
  <si>
    <t>DHCP allocation_pool_end</t>
  </si>
  <si>
    <t>DHCP allocation_pool_start</t>
  </si>
  <si>
    <t>Discovery range_start</t>
  </si>
  <si>
    <t>Discovery range_end</t>
  </si>
  <si>
    <t>sah_bonding_opts</t>
  </si>
  <si>
    <t>director_management_ip</t>
  </si>
  <si>
    <t>OS_drive_size</t>
  </si>
  <si>
    <t>controller</t>
  </si>
  <si>
    <t>compute</t>
  </si>
  <si>
    <t>storage</t>
  </si>
  <si>
    <t>R640</t>
  </si>
  <si>
    <t>R740xd</t>
  </si>
  <si>
    <t>192.168.170.21</t>
  </si>
  <si>
    <t>192.168.170.22</t>
  </si>
  <si>
    <t>192.168.170.23</t>
  </si>
  <si>
    <t>192.168.170.24</t>
  </si>
  <si>
    <t>192.168.170.25</t>
  </si>
  <si>
    <t>192.168.170.26</t>
  </si>
  <si>
    <t>192.168.170.27</t>
  </si>
  <si>
    <t>192.168.170.28</t>
  </si>
  <si>
    <t>192.168.170.29</t>
  </si>
  <si>
    <t>192.168.170.30</t>
  </si>
  <si>
    <t>192.168.170.31</t>
  </si>
  <si>
    <t>open</t>
  </si>
  <si>
    <t>192.168.140.9</t>
  </si>
  <si>
    <t>director_provisioning_ip</t>
  </si>
  <si>
    <t>dashboard_public_api_ip</t>
  </si>
  <si>
    <t>192.168.180.18</t>
  </si>
  <si>
    <t>192.168.180.19</t>
  </si>
  <si>
    <t>192.168.180.20</t>
  </si>
  <si>
    <t>Bonding Options</t>
  </si>
  <si>
    <t>F10-S3048</t>
  </si>
  <si>
    <t>IP</t>
  </si>
  <si>
    <t>F10-S4048-2</t>
  </si>
  <si>
    <t>F10-S4048-1</t>
  </si>
  <si>
    <t xml:space="preserve">Network Tag Information </t>
  </si>
  <si>
    <t>192.168.140.1 (opt)</t>
  </si>
  <si>
    <t>192.168.170.1 (opt)</t>
  </si>
  <si>
    <t>192.168.180.1 (opt)</t>
  </si>
  <si>
    <t>Internal Tenants</t>
  </si>
  <si>
    <t>VLAN Information</t>
  </si>
  <si>
    <t>192.168.[201-250].0/24</t>
  </si>
  <si>
    <t>201-250</t>
  </si>
  <si>
    <t>Anaconda</t>
  </si>
  <si>
    <t>Speed</t>
  </si>
  <si>
    <t>1GB</t>
  </si>
  <si>
    <t>10GB</t>
  </si>
  <si>
    <t>switch_0_hostname</t>
  </si>
  <si>
    <t>switch_0_username</t>
  </si>
  <si>
    <t>switch_0_password</t>
  </si>
  <si>
    <t>switch_0_ip_address</t>
  </si>
  <si>
    <t>switch_0_service_tag</t>
  </si>
  <si>
    <t>switch_0_speed</t>
  </si>
  <si>
    <t>Model type</t>
  </si>
  <si>
    <t>Force 10 - S3048</t>
  </si>
  <si>
    <t>Force 10 - S4048</t>
  </si>
  <si>
    <t>switch_0_model_type</t>
  </si>
  <si>
    <t>switch_0_stacking</t>
  </si>
  <si>
    <t>switch_0_stp_root</t>
  </si>
  <si>
    <t>switch_0_stp_mode</t>
  </si>
  <si>
    <t>switch_0_stp_bridge_priority</t>
  </si>
  <si>
    <t>switch_0_vlt_stacking</t>
  </si>
  <si>
    <t>switch_0_vlt_domain_num</t>
  </si>
  <si>
    <t>switch_0_vlt_unit_id</t>
  </si>
  <si>
    <t>switch_0_vlt_priority</t>
  </si>
  <si>
    <t>switch_1_model_type</t>
  </si>
  <si>
    <t>switch_1_hostname</t>
  </si>
  <si>
    <t>switch_1_service_tag</t>
  </si>
  <si>
    <t>switch_1_speed</t>
  </si>
  <si>
    <t>switch_1_username</t>
  </si>
  <si>
    <t>switch_1_password</t>
  </si>
  <si>
    <t>switch_1_ip_address</t>
  </si>
  <si>
    <t>switch_1_stacking</t>
  </si>
  <si>
    <t>switch_1_stp_mode</t>
  </si>
  <si>
    <t>switch_1_stp_root</t>
  </si>
  <si>
    <t>switch_1_vlt_stacking</t>
  </si>
  <si>
    <t>switch_1_stp_bridge_priority</t>
  </si>
  <si>
    <t>switch_1_vlt_unit_id</t>
  </si>
  <si>
    <t>switch_1_vlt_domain_num</t>
  </si>
  <si>
    <t>switch_1_vlt_priority</t>
  </si>
  <si>
    <t>switch_2_model_type</t>
  </si>
  <si>
    <t>switch_2_hostname</t>
  </si>
  <si>
    <t>switch_2_service_tag</t>
  </si>
  <si>
    <t>switch_2_speed</t>
  </si>
  <si>
    <t>switch_2_username</t>
  </si>
  <si>
    <t>switch_2_password</t>
  </si>
  <si>
    <t>switch_2_stacking</t>
  </si>
  <si>
    <t>switch_2_ip_address</t>
  </si>
  <si>
    <t>switch_2_stp_mode</t>
  </si>
  <si>
    <t>switch_2_stp_root</t>
  </si>
  <si>
    <t>switch_2_stp_bridge_priority</t>
  </si>
  <si>
    <t>switch_2_vlt_stacking</t>
  </si>
  <si>
    <t>switch_2_vlt_domain_num</t>
  </si>
  <si>
    <t>switch_2_vlt_unit_id</t>
  </si>
  <si>
    <t>switch_2_vlt_priority</t>
  </si>
  <si>
    <t>provisioning_vlanid</t>
  </si>
  <si>
    <t>public_api_sah_vlan_tagged</t>
  </si>
  <si>
    <t>public_api_controller_vlan_tagged</t>
  </si>
  <si>
    <t>public_api_compute_vlan_tagged</t>
  </si>
  <si>
    <t>public_api_storage_vlan_tagged</t>
  </si>
  <si>
    <t>private_api_sah_vlan_tagged</t>
  </si>
  <si>
    <t>private_api_controller_vlan_tagged</t>
  </si>
  <si>
    <t>private_api_compute_vlan_tagged</t>
  </si>
  <si>
    <t>private_api_storage_vlan_tagged</t>
  </si>
  <si>
    <t>storage_sah_vlan_tagged</t>
  </si>
  <si>
    <t>storage_controller_vlan_tagged</t>
  </si>
  <si>
    <t>storage_compute_vlan_tagged</t>
  </si>
  <si>
    <t>storage_storage_vlan_tagged</t>
  </si>
  <si>
    <t>provisioning_sah_vlan_tagged</t>
  </si>
  <si>
    <t>provisioning_controller_vlan_tagged</t>
  </si>
  <si>
    <t>provisioning_compute_vlan_tagged</t>
  </si>
  <si>
    <t>provisioning_storage_vlan_tagged</t>
  </si>
  <si>
    <t>management_sah_vlan_tagged</t>
  </si>
  <si>
    <t>management_controller_vlan_tagged</t>
  </si>
  <si>
    <t>management_compute_vlan_tagged</t>
  </si>
  <si>
    <t>management_storage_vlan_tagged</t>
  </si>
  <si>
    <t>tenant_tunnel_sah_vlan_tagged</t>
  </si>
  <si>
    <t>tenant_tunnel_controller_vlan_tagged</t>
  </si>
  <si>
    <t>tenant_tunnel_compute_vlan_tagged</t>
  </si>
  <si>
    <t>tenant_tunnel_storage_vlan_tagged</t>
  </si>
  <si>
    <t>floating_ip_controller_vlan_tagged</t>
  </si>
  <si>
    <t>floating_ip_compute_vlan_tagged</t>
  </si>
  <si>
    <t>floating_ip_sah_vlan_tagged</t>
  </si>
  <si>
    <t>floating_ip_storage_vlan_tagged</t>
  </si>
  <si>
    <t>Tenant-Tunneling (GRE/VXLAN)</t>
  </si>
  <si>
    <t xml:space="preserve"> Management/OOB</t>
  </si>
  <si>
    <t>Public API</t>
  </si>
  <si>
    <t>Private API</t>
  </si>
  <si>
    <t>Storage Clustering</t>
  </si>
  <si>
    <t>Provisioning</t>
  </si>
  <si>
    <t>External Tenants</t>
  </si>
  <si>
    <t>External Tenants (Floating IP)</t>
  </si>
  <si>
    <t>Network / VLANS</t>
  </si>
  <si>
    <t>Tenant Tunneling</t>
  </si>
  <si>
    <t>Storage Network</t>
  </si>
  <si>
    <t>iDRAC</t>
  </si>
  <si>
    <t>UnTagged</t>
  </si>
  <si>
    <t>Commonly Changed Deployment Settings</t>
  </si>
  <si>
    <t>pass1234</t>
  </si>
  <si>
    <t>rack01</t>
  </si>
  <si>
    <t>cloud.labs</t>
  </si>
  <si>
    <t>8.8.8.8</t>
  </si>
  <si>
    <t>4.4.4.4</t>
  </si>
  <si>
    <t>/root/rack01.properties</t>
  </si>
  <si>
    <t>stack</t>
  </si>
  <si>
    <t>rh_cloud_sol</t>
  </si>
  <si>
    <t>100.100.10.137</t>
  </si>
  <si>
    <t>100.100.10.138</t>
  </si>
  <si>
    <t>100.100.10.139</t>
  </si>
  <si>
    <t>100.100.10.140</t>
  </si>
  <si>
    <t>100.100.10.141</t>
  </si>
  <si>
    <t>100.100.10.142</t>
  </si>
  <si>
    <t>100.100.10.143</t>
  </si>
  <si>
    <t>100.100.10.144</t>
  </si>
  <si>
    <t>100.100.10.145</t>
  </si>
  <si>
    <t>100.100.10.146</t>
  </si>
  <si>
    <t>100.100.10.147</t>
  </si>
  <si>
    <t>100.100.10.148</t>
  </si>
  <si>
    <t>100.100.10.149</t>
  </si>
  <si>
    <t>100.100.10.150</t>
  </si>
  <si>
    <t>100.100.10.151</t>
  </si>
  <si>
    <t>100.100.10.152</t>
  </si>
  <si>
    <t>100.100.10.153</t>
  </si>
  <si>
    <t>100.100.10.154</t>
  </si>
  <si>
    <t>100.100.10.155</t>
  </si>
  <si>
    <t>100.100.10.156</t>
  </si>
  <si>
    <t>100.100.10.157</t>
  </si>
  <si>
    <t>100.100.10.158</t>
  </si>
  <si>
    <t>100.100.10.159</t>
  </si>
  <si>
    <t>100.100.10.160</t>
  </si>
  <si>
    <t>100.100.10.161</t>
  </si>
  <si>
    <t>100.100.10.190</t>
  </si>
  <si>
    <t>100.100.20.39</t>
  </si>
  <si>
    <t>100.100.20.38</t>
  </si>
  <si>
    <t>100.100.10.128/26</t>
  </si>
  <si>
    <t>100.100.10.192/26</t>
  </si>
  <si>
    <t>100.100.10.129</t>
  </si>
  <si>
    <t>100.100.10.193</t>
  </si>
  <si>
    <t>100.100.10.200</t>
  </si>
  <si>
    <t>100.100.10.189</t>
  </si>
  <si>
    <t>100.100.10.250</t>
  </si>
  <si>
    <t>100.100.20.19</t>
  </si>
  <si>
    <t>admin</t>
  </si>
  <si>
    <t>100.100.20.17</t>
  </si>
  <si>
    <t>100.100.20.18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</si>
</sst>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_-* #,##0\ _D_M_-;\-* #,##0\ _D_M_-;_-* &quot;-&quot;\ _D_M_-;_-@_-"/>
    <numFmt numFmtId="165" formatCode="_-* #,##0\ _F_-;\-* #,##0\ _F_-;_-* &quot;-&quot;\ _F_-;_-@_-"/>
    <numFmt numFmtId="166" formatCode="_-* #,##0.00\ _F_-;\-* #,##0.00\ _F_-;_-* &quot;-&quot;??\ _F_-;_-@_-"/>
    <numFmt numFmtId="167" formatCode="_-* #,##0\ &quot;DM&quot;_-;\-* #,##0\ &quot;DM&quot;_-;_-* &quot;-&quot;\ &quot;DM&quot;_-;_-@_-"/>
    <numFmt numFmtId="168" formatCode="_-* #,##0.00\ &quot;DM&quot;_-;\-* #,##0.00\ &quot;DM&quot;_-;_-* &quot;-&quot;??\ &quot;DM&quot;_-;_-@_-"/>
    <numFmt numFmtId="169" formatCode="_-* #,##0\ &quot;F&quot;_-;\-* #,##0\ &quot;F&quot;_-;_-* &quot;-&quot;\ &quot;F&quot;_-;_-@_-"/>
    <numFmt numFmtId="170" formatCode="_-* #,##0.00\ &quot;F&quot;_-;\-* #,##0.00\ &quot;F&quot;_-;_-* &quot;-&quot;??\ &quot;F&quot;_-;_-@_-"/>
    <numFmt numFmtId="171" formatCode="&quot;£&quot;#,##0;[Red]\-&quot;£&quot;#,##0"/>
    <numFmt numFmtId="172" formatCode="&quot;£&quot;#,##0.00;[Red]\-&quot;£&quot;#,##0.00"/>
    <numFmt numFmtId="173" formatCode="_-&quot;£&quot;* #,##0_-;\-&quot;£&quot;* #,##0_-;_-&quot;£&quot;* &quot;-&quot;_-;_-@_-"/>
    <numFmt numFmtId="174" formatCode="_-&quot;£&quot;* #,##0.00_-;\-&quot;£&quot;* #,##0.00_-;_-&quot;£&quot;* &quot;-&quot;??_-;_-@_-"/>
  </numFmts>
  <fonts count="8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i/>
      <u/>
      <sz val="14"/>
      <name val="Arial"/>
      <family val="2"/>
    </font>
    <font>
      <sz val="10"/>
      <color indexed="8"/>
      <name val="Arial"/>
      <family val="2"/>
    </font>
    <font>
      <b/>
      <sz val="11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sz val="11"/>
      <color indexed="8"/>
      <name val="Calibri"/>
      <family val="2"/>
    </font>
    <font>
      <sz val="10"/>
      <name val="MS Sans Serif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3"/>
      <name val="Calibri"/>
      <family val="2"/>
    </font>
    <font>
      <sz val="10"/>
      <color indexed="8"/>
      <name val="MS Sans Serif"/>
      <family val="2"/>
    </font>
    <font>
      <sz val="11"/>
      <color theme="1"/>
      <name val="Times New Roman"/>
      <family val="2"/>
    </font>
    <font>
      <b/>
      <sz val="18"/>
      <color indexed="62"/>
      <name val="Cambri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333333"/>
      <name val="Lucida Sans Unicode"/>
      <family val="2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sz val="9"/>
      <color rgb="FF24292E"/>
      <name val="Consolas"/>
      <family val="3"/>
    </font>
    <font>
      <sz val="11"/>
      <name val="Calibri"/>
      <family val="2"/>
    </font>
    <font>
      <sz val="11"/>
      <color rgb="FF24292E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242729"/>
      <name val="Consolas"/>
      <family val="3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1"/>
      <color rgb="FF333333"/>
      <name val="Lucida Sans Unicode"/>
      <family val="2"/>
    </font>
  </fonts>
  <fills count="9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41325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/>
      </patternFill>
    </fill>
  </fills>
  <borders count="7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4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</borders>
  <cellStyleXfs count="1629">
    <xf numFmtId="0" fontId="0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7" fillId="0" borderId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12" fillId="0" borderId="0">
      <alignment horizontal="left"/>
    </xf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9" fillId="0" borderId="0">
      <alignment horizontal="left"/>
    </xf>
    <xf numFmtId="164" fontId="1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1" fillId="0" borderId="8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24" fillId="0" borderId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0" fontId="25" fillId="20" borderId="11" applyNumberFormat="0" applyAlignment="0" applyProtection="0"/>
    <xf numFmtId="0" fontId="25" fillId="20" borderId="11" applyNumberFormat="0" applyAlignment="0" applyProtection="0"/>
    <xf numFmtId="0" fontId="25" fillId="20" borderId="11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2" fillId="0" borderId="0"/>
    <xf numFmtId="0" fontId="2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8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171" fontId="30" fillId="0" borderId="0" applyFont="0" applyFill="0" applyBorder="0" applyAlignment="0" applyProtection="0"/>
    <xf numFmtId="172" fontId="30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65" borderId="0" applyNumberFormat="0" applyBorder="0" applyAlignment="0" applyProtection="0"/>
    <xf numFmtId="0" fontId="4" fillId="65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3" fillId="66" borderId="0" applyNumberFormat="0" applyBorder="0" applyAlignment="0" applyProtection="0"/>
    <xf numFmtId="0" fontId="3" fillId="67" borderId="0" applyNumberFormat="0" applyBorder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69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3" fillId="66" borderId="0" applyNumberFormat="0" applyBorder="0" applyAlignment="0" applyProtection="0"/>
    <xf numFmtId="0" fontId="3" fillId="70" borderId="0" applyNumberFormat="0" applyBorder="0" applyAlignment="0" applyProtection="0"/>
    <xf numFmtId="0" fontId="4" fillId="67" borderId="0" applyNumberFormat="0" applyBorder="0" applyAlignment="0" applyProtection="0"/>
    <xf numFmtId="0" fontId="4" fillId="68" borderId="0" applyNumberFormat="0" applyBorder="0" applyAlignment="0" applyProtection="0"/>
    <xf numFmtId="0" fontId="4" fillId="68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3" fillId="63" borderId="0" applyNumberFormat="0" applyBorder="0" applyAlignment="0" applyProtection="0"/>
    <xf numFmtId="0" fontId="3" fillId="67" borderId="0" applyNumberFormat="0" applyBorder="0" applyAlignment="0" applyProtection="0"/>
    <xf numFmtId="0" fontId="4" fillId="67" borderId="0" applyNumberFormat="0" applyBorder="0" applyAlignment="0" applyProtection="0"/>
    <xf numFmtId="0" fontId="4" fillId="65" borderId="0" applyNumberFormat="0" applyBorder="0" applyAlignment="0" applyProtection="0"/>
    <xf numFmtId="0" fontId="4" fillId="65" borderId="0" applyNumberFormat="0" applyBorder="0" applyAlignment="0" applyProtection="0"/>
    <xf numFmtId="0" fontId="3" fillId="71" borderId="0" applyNumberFormat="0" applyBorder="0" applyAlignment="0" applyProtection="0"/>
    <xf numFmtId="0" fontId="3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72" borderId="0" applyNumberFormat="0" applyBorder="0" applyAlignment="0" applyProtection="0"/>
    <xf numFmtId="0" fontId="4" fillId="72" borderId="0" applyNumberFormat="0" applyBorder="0" applyAlignment="0" applyProtection="0"/>
    <xf numFmtId="0" fontId="3" fillId="66" borderId="0" applyNumberFormat="0" applyBorder="0" applyAlignment="0" applyProtection="0"/>
    <xf numFmtId="0" fontId="3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1" fillId="75" borderId="0" applyNumberFormat="0" applyBorder="0" applyAlignment="0" applyProtection="0"/>
    <xf numFmtId="0" fontId="51" fillId="75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52" fillId="76" borderId="51" applyNumberFormat="0" applyAlignment="0" applyProtection="0"/>
    <xf numFmtId="0" fontId="52" fillId="76" borderId="51" applyNumberFormat="0" applyAlignment="0" applyProtection="0"/>
    <xf numFmtId="0" fontId="6" fillId="20" borderId="51" applyNumberFormat="0" applyAlignment="0" applyProtection="0"/>
    <xf numFmtId="0" fontId="6" fillId="20" borderId="51" applyNumberFormat="0" applyAlignment="0" applyProtection="0"/>
    <xf numFmtId="0" fontId="6" fillId="20" borderId="51" applyNumberFormat="0" applyAlignment="0" applyProtection="0"/>
    <xf numFmtId="0" fontId="52" fillId="76" borderId="51" applyNumberFormat="0" applyAlignment="0" applyProtection="0"/>
    <xf numFmtId="0" fontId="52" fillId="76" borderId="51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8" fillId="68" borderId="2" applyNumberFormat="0" applyAlignment="0" applyProtection="0"/>
    <xf numFmtId="0" fontId="8" fillId="68" borderId="2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9" fillId="77" borderId="0" applyNumberFormat="0" applyBorder="0" applyAlignment="0" applyProtection="0"/>
    <xf numFmtId="0" fontId="29" fillId="78" borderId="0" applyNumberFormat="0" applyBorder="0" applyAlignment="0" applyProtection="0"/>
    <xf numFmtId="0" fontId="29" fillId="79" borderId="0" applyNumberFormat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53" fillId="0" borderId="52" applyNumberFormat="0" applyFill="0" applyAlignment="0" applyProtection="0"/>
    <xf numFmtId="0" fontId="53" fillId="0" borderId="52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54" fillId="0" borderId="4" applyNumberFormat="0" applyFill="0" applyAlignment="0" applyProtection="0"/>
    <xf numFmtId="0" fontId="54" fillId="0" borderId="4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55" fillId="0" borderId="53" applyNumberFormat="0" applyFill="0" applyAlignment="0" applyProtection="0"/>
    <xf numFmtId="0" fontId="55" fillId="0" borderId="53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3" borderId="51" applyNumberFormat="0" applyAlignment="0" applyProtection="0"/>
    <xf numFmtId="0" fontId="17" fillId="73" borderId="51" applyNumberFormat="0" applyAlignment="0" applyProtection="0"/>
    <xf numFmtId="0" fontId="17" fillId="7" borderId="51" applyNumberFormat="0" applyAlignment="0" applyProtection="0"/>
    <xf numFmtId="0" fontId="17" fillId="7" borderId="51" applyNumberFormat="0" applyAlignment="0" applyProtection="0"/>
    <xf numFmtId="0" fontId="17" fillId="7" borderId="51" applyNumberFormat="0" applyAlignment="0" applyProtection="0"/>
    <xf numFmtId="0" fontId="17" fillId="73" borderId="51" applyNumberFormat="0" applyAlignment="0" applyProtection="0"/>
    <xf numFmtId="0" fontId="17" fillId="73" borderId="51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56" fillId="0" borderId="7" applyNumberFormat="0" applyFill="0" applyAlignment="0" applyProtection="0"/>
    <xf numFmtId="0" fontId="56" fillId="0" borderId="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22" fillId="80" borderId="0" applyNumberFormat="0" applyBorder="0" applyAlignment="0" applyProtection="0"/>
    <xf numFmtId="0" fontId="22" fillId="80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7" fillId="0" borderId="0"/>
    <xf numFmtId="0" fontId="1" fillId="0" borderId="0"/>
    <xf numFmtId="0" fontId="57" fillId="0" borderId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66" borderId="54" applyNumberFormat="0" applyFont="0" applyAlignment="0" applyProtection="0"/>
    <xf numFmtId="0" fontId="1" fillId="66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24" borderId="54" applyNumberFormat="0" applyFont="0" applyAlignment="0" applyProtection="0"/>
    <xf numFmtId="0" fontId="1" fillId="66" borderId="54" applyNumberFormat="0" applyFont="0" applyAlignment="0" applyProtection="0"/>
    <xf numFmtId="0" fontId="1" fillId="66" borderId="54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3" fontId="2" fillId="0" borderId="55" applyBorder="0"/>
    <xf numFmtId="0" fontId="25" fillId="76" borderId="56" applyNumberFormat="0" applyAlignment="0" applyProtection="0"/>
    <xf numFmtId="0" fontId="25" fillId="76" borderId="56" applyNumberFormat="0" applyAlignment="0" applyProtection="0"/>
    <xf numFmtId="0" fontId="25" fillId="20" borderId="56" applyNumberFormat="0" applyAlignment="0" applyProtection="0"/>
    <xf numFmtId="0" fontId="25" fillId="20" borderId="56" applyNumberFormat="0" applyAlignment="0" applyProtection="0"/>
    <xf numFmtId="0" fontId="25" fillId="20" borderId="56" applyNumberFormat="0" applyAlignment="0" applyProtection="0"/>
    <xf numFmtId="0" fontId="25" fillId="76" borderId="56" applyNumberFormat="0" applyAlignment="0" applyProtection="0"/>
    <xf numFmtId="0" fontId="25" fillId="76" borderId="56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0" fontId="59" fillId="0" borderId="0" applyNumberFormat="0" applyFill="0" applyBorder="0" applyAlignment="0" applyProtection="0"/>
    <xf numFmtId="3" fontId="11" fillId="0" borderId="0"/>
    <xf numFmtId="3" fontId="1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57" applyNumberFormat="0" applyFill="0" applyAlignment="0" applyProtection="0"/>
    <xf numFmtId="0" fontId="29" fillId="0" borderId="57" applyNumberFormat="0" applyFill="0" applyAlignment="0" applyProtection="0"/>
    <xf numFmtId="0" fontId="29" fillId="0" borderId="58" applyNumberFormat="0" applyFill="0" applyAlignment="0" applyProtection="0"/>
    <xf numFmtId="0" fontId="29" fillId="0" borderId="58" applyNumberFormat="0" applyFill="0" applyAlignment="0" applyProtection="0"/>
    <xf numFmtId="0" fontId="29" fillId="0" borderId="58" applyNumberFormat="0" applyFill="0" applyAlignment="0" applyProtection="0"/>
    <xf numFmtId="0" fontId="29" fillId="0" borderId="57" applyNumberFormat="0" applyFill="0" applyAlignment="0" applyProtection="0"/>
    <xf numFmtId="0" fontId="29" fillId="0" borderId="57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0" fontId="31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0" fillId="0" borderId="0"/>
    <xf numFmtId="0" fontId="57" fillId="0" borderId="0"/>
    <xf numFmtId="0" fontId="61" fillId="0" borderId="0"/>
  </cellStyleXfs>
  <cellXfs count="266">
    <xf numFmtId="0" fontId="0" fillId="0" borderId="0" xfId="0"/>
    <xf numFmtId="0" fontId="35" fillId="27" borderId="0" xfId="0" applyFont="1" applyFill="1" applyBorder="1" applyAlignment="1">
      <alignment horizontal="center"/>
    </xf>
    <xf numFmtId="0" fontId="35" fillId="27" borderId="29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6" fillId="0" borderId="28" xfId="0" applyFont="1" applyFill="1" applyBorder="1" applyAlignment="1">
      <alignment horizontal="center"/>
    </xf>
    <xf numFmtId="0" fontId="0" fillId="0" borderId="28" xfId="0" applyFont="1" applyFill="1" applyBorder="1" applyAlignment="1">
      <alignment horizontal="center"/>
    </xf>
    <xf numFmtId="0" fontId="36" fillId="0" borderId="29" xfId="0" applyFont="1" applyFill="1" applyBorder="1" applyAlignment="1">
      <alignment horizontal="center"/>
    </xf>
    <xf numFmtId="0" fontId="35" fillId="27" borderId="36" xfId="0" applyFont="1" applyFill="1" applyBorder="1" applyAlignment="1">
      <alignment horizontal="center"/>
    </xf>
    <xf numFmtId="0" fontId="35" fillId="27" borderId="29" xfId="0" applyFont="1" applyFill="1" applyBorder="1" applyAlignment="1">
      <alignment horizontal="center"/>
    </xf>
    <xf numFmtId="0" fontId="0" fillId="0" borderId="27" xfId="0" applyFont="1" applyFill="1" applyBorder="1" applyAlignment="1">
      <alignment horizontal="center"/>
    </xf>
    <xf numFmtId="0" fontId="0" fillId="0" borderId="29" xfId="0" applyFont="1" applyFill="1" applyBorder="1" applyAlignment="1">
      <alignment horizontal="center"/>
    </xf>
    <xf numFmtId="0" fontId="62" fillId="0" borderId="28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63" fillId="0" borderId="28" xfId="0" applyFont="1" applyFill="1" applyBorder="1" applyAlignment="1">
      <alignment horizontal="center"/>
    </xf>
    <xf numFmtId="0" fontId="63" fillId="0" borderId="29" xfId="0" applyFont="1" applyFill="1" applyBorder="1" applyAlignment="1">
      <alignment horizontal="center"/>
    </xf>
    <xf numFmtId="0" fontId="63" fillId="0" borderId="28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35" fillId="27" borderId="29" xfId="0" applyFon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Fill="1" applyAlignment="1"/>
    <xf numFmtId="49" fontId="33" fillId="0" borderId="0" xfId="0" applyNumberFormat="1" applyFont="1" applyFill="1" applyAlignment="1">
      <alignment horizontal="center"/>
    </xf>
    <xf numFmtId="0" fontId="33" fillId="0" borderId="28" xfId="0" applyFont="1" applyFill="1" applyBorder="1" applyAlignment="1">
      <alignment horizontal="center"/>
    </xf>
    <xf numFmtId="0" fontId="33" fillId="81" borderId="6" xfId="0" applyFont="1" applyFill="1" applyBorder="1" applyAlignment="1">
      <alignment horizontal="center" vertical="center" wrapText="1"/>
    </xf>
    <xf numFmtId="0" fontId="33" fillId="81" borderId="0" xfId="0" applyFont="1" applyFill="1" applyBorder="1" applyAlignment="1">
      <alignment horizontal="center" vertical="center" wrapText="1"/>
    </xf>
    <xf numFmtId="0" fontId="0" fillId="0" borderId="6" xfId="0" applyBorder="1"/>
    <xf numFmtId="0" fontId="0" fillId="0" borderId="6" xfId="0" applyFill="1" applyBorder="1"/>
    <xf numFmtId="0" fontId="0" fillId="0" borderId="38" xfId="0" applyBorder="1"/>
    <xf numFmtId="0" fontId="0" fillId="84" borderId="6" xfId="0" applyFont="1" applyFill="1" applyBorder="1" applyAlignment="1">
      <alignment horizontal="center"/>
    </xf>
    <xf numFmtId="0" fontId="0" fillId="0" borderId="39" xfId="0" applyBorder="1"/>
    <xf numFmtId="0" fontId="0" fillId="0" borderId="41" xfId="0" applyBorder="1"/>
    <xf numFmtId="0" fontId="0" fillId="86" borderId="61" xfId="0" applyFill="1" applyBorder="1"/>
    <xf numFmtId="0" fontId="0" fillId="86" borderId="63" xfId="0" applyFill="1" applyBorder="1"/>
    <xf numFmtId="0" fontId="0" fillId="86" borderId="65" xfId="0" applyFill="1" applyBorder="1"/>
    <xf numFmtId="0" fontId="0" fillId="82" borderId="6" xfId="0" applyFont="1" applyFill="1" applyBorder="1" applyAlignment="1">
      <alignment horizontal="center" wrapText="1"/>
    </xf>
    <xf numFmtId="0" fontId="0" fillId="26" borderId="6" xfId="0" applyFont="1" applyFill="1" applyBorder="1" applyAlignment="1">
      <alignment horizontal="center" wrapText="1"/>
    </xf>
    <xf numFmtId="0" fontId="0" fillId="83" borderId="6" xfId="0" applyFont="1" applyFill="1" applyBorder="1" applyAlignment="1">
      <alignment horizontal="center" wrapText="1"/>
    </xf>
    <xf numFmtId="0" fontId="0" fillId="84" borderId="6" xfId="0" applyFont="1" applyFill="1" applyBorder="1" applyAlignment="1">
      <alignment horizontal="center" wrapText="1"/>
    </xf>
    <xf numFmtId="0" fontId="0" fillId="30" borderId="6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 vertical="center" wrapText="1"/>
    </xf>
    <xf numFmtId="0" fontId="0" fillId="85" borderId="6" xfId="0" applyFont="1" applyFill="1" applyBorder="1" applyAlignment="1">
      <alignment horizontal="center" wrapText="1"/>
    </xf>
    <xf numFmtId="0" fontId="0" fillId="35" borderId="6" xfId="0" applyFill="1" applyBorder="1" applyAlignment="1">
      <alignment horizontal="center"/>
    </xf>
    <xf numFmtId="0" fontId="50" fillId="87" borderId="6" xfId="0" applyFont="1" applyFill="1" applyBorder="1" applyAlignment="1">
      <alignment horizontal="center" wrapText="1"/>
    </xf>
    <xf numFmtId="0" fontId="67" fillId="88" borderId="6" xfId="0" applyFont="1" applyFill="1" applyBorder="1" applyAlignment="1">
      <alignment horizontal="left" vertical="center" wrapText="1"/>
    </xf>
    <xf numFmtId="0" fontId="68" fillId="88" borderId="6" xfId="0" applyFont="1" applyFill="1" applyBorder="1" applyAlignment="1">
      <alignment horizontal="left" wrapText="1"/>
    </xf>
    <xf numFmtId="0" fontId="68" fillId="88" borderId="6" xfId="0" applyFont="1" applyFill="1" applyBorder="1" applyAlignment="1">
      <alignment horizontal="left" vertical="center" wrapText="1"/>
    </xf>
    <xf numFmtId="0" fontId="0" fillId="88" borderId="6" xfId="0" applyFill="1" applyBorder="1"/>
    <xf numFmtId="0" fontId="65" fillId="88" borderId="6" xfId="0" applyFont="1" applyFill="1" applyBorder="1"/>
    <xf numFmtId="0" fontId="0" fillId="88" borderId="0" xfId="0" applyFill="1"/>
    <xf numFmtId="0" fontId="0" fillId="82" borderId="41" xfId="0" applyFont="1" applyFill="1" applyBorder="1" applyAlignment="1">
      <alignment horizontal="center" wrapText="1"/>
    </xf>
    <xf numFmtId="0" fontId="50" fillId="87" borderId="41" xfId="0" applyFont="1" applyFill="1" applyBorder="1" applyAlignment="1">
      <alignment horizontal="center" wrapText="1"/>
    </xf>
    <xf numFmtId="0" fontId="0" fillId="26" borderId="41" xfId="0" applyFont="1" applyFill="1" applyBorder="1" applyAlignment="1">
      <alignment horizontal="center" wrapText="1"/>
    </xf>
    <xf numFmtId="0" fontId="33" fillId="81" borderId="59" xfId="0" applyFont="1" applyFill="1" applyBorder="1" applyAlignment="1">
      <alignment horizontal="center" vertical="center" wrapText="1"/>
    </xf>
    <xf numFmtId="0" fontId="0" fillId="35" borderId="41" xfId="0" applyFill="1" applyBorder="1" applyAlignment="1">
      <alignment horizontal="center"/>
    </xf>
    <xf numFmtId="0" fontId="0" fillId="85" borderId="59" xfId="0" applyFont="1" applyFill="1" applyBorder="1" applyAlignment="1">
      <alignment horizontal="center" wrapText="1"/>
    </xf>
    <xf numFmtId="0" fontId="0" fillId="83" borderId="59" xfId="0" applyFont="1" applyFill="1" applyBorder="1" applyAlignment="1">
      <alignment horizontal="center" wrapText="1"/>
    </xf>
    <xf numFmtId="0" fontId="0" fillId="84" borderId="59" xfId="0" applyFont="1" applyFill="1" applyBorder="1" applyAlignment="1">
      <alignment horizontal="center"/>
    </xf>
    <xf numFmtId="0" fontId="0" fillId="30" borderId="59" xfId="0" applyFont="1" applyFill="1" applyBorder="1" applyAlignment="1">
      <alignment horizontal="center"/>
    </xf>
    <xf numFmtId="0" fontId="0" fillId="85" borderId="41" xfId="0" applyFont="1" applyFill="1" applyBorder="1" applyAlignment="1">
      <alignment horizontal="center" wrapText="1"/>
    </xf>
    <xf numFmtId="0" fontId="0" fillId="83" borderId="41" xfId="0" applyFont="1" applyFill="1" applyBorder="1" applyAlignment="1">
      <alignment horizontal="center" wrapText="1"/>
    </xf>
    <xf numFmtId="0" fontId="0" fillId="82" borderId="40" xfId="0" applyFont="1" applyFill="1" applyBorder="1" applyAlignment="1">
      <alignment horizontal="center" wrapText="1"/>
    </xf>
    <xf numFmtId="0" fontId="50" fillId="87" borderId="40" xfId="0" applyFont="1" applyFill="1" applyBorder="1" applyAlignment="1">
      <alignment horizontal="center" wrapText="1"/>
    </xf>
    <xf numFmtId="0" fontId="0" fillId="26" borderId="59" xfId="0" applyFont="1" applyFill="1" applyBorder="1" applyAlignment="1">
      <alignment horizontal="center" wrapText="1"/>
    </xf>
    <xf numFmtId="0" fontId="0" fillId="35" borderId="59" xfId="0" applyFill="1" applyBorder="1" applyAlignment="1">
      <alignment horizontal="center"/>
    </xf>
    <xf numFmtId="0" fontId="67" fillId="88" borderId="41" xfId="0" applyFont="1" applyFill="1" applyBorder="1" applyAlignment="1">
      <alignment horizontal="left" vertical="center" wrapText="1"/>
    </xf>
    <xf numFmtId="0" fontId="68" fillId="88" borderId="41" xfId="0" applyFont="1" applyFill="1" applyBorder="1" applyAlignment="1">
      <alignment horizontal="left" wrapText="1"/>
    </xf>
    <xf numFmtId="0" fontId="68" fillId="88" borderId="41" xfId="0" applyFont="1" applyFill="1" applyBorder="1" applyAlignment="1">
      <alignment horizontal="left" vertical="center" wrapText="1"/>
    </xf>
    <xf numFmtId="0" fontId="0" fillId="84" borderId="41" xfId="0" applyFont="1" applyFill="1" applyBorder="1" applyAlignment="1">
      <alignment horizontal="center" wrapText="1"/>
    </xf>
    <xf numFmtId="0" fontId="0" fillId="82" borderId="66" xfId="0" applyFont="1" applyFill="1" applyBorder="1" applyAlignment="1">
      <alignment horizontal="center" wrapText="1"/>
    </xf>
    <xf numFmtId="0" fontId="50" fillId="87" borderId="66" xfId="0" applyFont="1" applyFill="1" applyBorder="1" applyAlignment="1">
      <alignment horizontal="center" wrapText="1"/>
    </xf>
    <xf numFmtId="0" fontId="0" fillId="26" borderId="66" xfId="0" applyFont="1" applyFill="1" applyBorder="1" applyAlignment="1">
      <alignment horizontal="center" wrapText="1"/>
    </xf>
    <xf numFmtId="0" fontId="70" fillId="25" borderId="6" xfId="0" applyFont="1" applyFill="1" applyBorder="1"/>
    <xf numFmtId="0" fontId="0" fillId="0" borderId="6" xfId="0" applyBorder="1" applyAlignment="1">
      <alignment horizontal="left"/>
    </xf>
    <xf numFmtId="0" fontId="0" fillId="0" borderId="0" xfId="0" quotePrefix="1"/>
    <xf numFmtId="0" fontId="50" fillId="87" borderId="61" xfId="0" applyFont="1" applyFill="1" applyBorder="1"/>
    <xf numFmtId="0" fontId="50" fillId="87" borderId="62" xfId="0" applyFont="1" applyFill="1" applyBorder="1"/>
    <xf numFmtId="0" fontId="50" fillId="87" borderId="63" xfId="0" applyFont="1" applyFill="1" applyBorder="1"/>
    <xf numFmtId="0" fontId="50" fillId="87" borderId="64" xfId="0" applyFont="1" applyFill="1" applyBorder="1"/>
    <xf numFmtId="0" fontId="0" fillId="0" borderId="0" xfId="0" applyBorder="1"/>
    <xf numFmtId="0" fontId="74" fillId="0" borderId="0" xfId="0" applyFont="1" applyAlignment="1">
      <alignment horizontal="left" vertical="center"/>
    </xf>
    <xf numFmtId="0" fontId="0" fillId="0" borderId="26" xfId="0" applyBorder="1"/>
    <xf numFmtId="0" fontId="0" fillId="0" borderId="24" xfId="0" applyFill="1" applyBorder="1" applyAlignment="1">
      <alignment horizontal="left"/>
    </xf>
    <xf numFmtId="0" fontId="0" fillId="0" borderId="69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71" fillId="0" borderId="67" xfId="0" applyFont="1" applyFill="1" applyBorder="1" applyAlignment="1">
      <alignment horizontal="center"/>
    </xf>
    <xf numFmtId="0" fontId="71" fillId="0" borderId="23" xfId="0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68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22" xfId="0" applyFill="1" applyBorder="1" applyAlignment="1">
      <alignment horizontal="left"/>
    </xf>
    <xf numFmtId="0" fontId="0" fillId="0" borderId="70" xfId="0" applyFill="1" applyBorder="1" applyAlignment="1">
      <alignment horizontal="left"/>
    </xf>
    <xf numFmtId="0" fontId="0" fillId="0" borderId="59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5" xfId="0" applyFill="1" applyBorder="1" applyAlignment="1">
      <alignment horizontal="left"/>
    </xf>
    <xf numFmtId="0" fontId="75" fillId="0" borderId="39" xfId="0" applyFont="1" applyFill="1" applyBorder="1" applyAlignment="1">
      <alignment horizontal="center"/>
    </xf>
    <xf numFmtId="0" fontId="33" fillId="0" borderId="39" xfId="0" applyFont="1" applyFill="1" applyBorder="1" applyAlignment="1">
      <alignment horizontal="center"/>
    </xf>
    <xf numFmtId="0" fontId="0" fillId="0" borderId="38" xfId="0" applyFont="1" applyFill="1" applyBorder="1" applyAlignment="1">
      <alignment horizontal="left"/>
    </xf>
    <xf numFmtId="0" fontId="33" fillId="0" borderId="16" xfId="0" applyFont="1" applyFill="1" applyBorder="1" applyAlignment="1">
      <alignment horizontal="center"/>
    </xf>
    <xf numFmtId="0" fontId="0" fillId="0" borderId="15" xfId="0" applyFont="1" applyFill="1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25" xfId="0" applyBorder="1"/>
    <xf numFmtId="0" fontId="35" fillId="33" borderId="32" xfId="0" applyFont="1" applyFill="1" applyBorder="1" applyAlignment="1"/>
    <xf numFmtId="0" fontId="35" fillId="27" borderId="35" xfId="0" applyFont="1" applyFill="1" applyBorder="1" applyAlignment="1"/>
    <xf numFmtId="0" fontId="35" fillId="27" borderId="33" xfId="0" applyFont="1" applyFill="1" applyBorder="1" applyAlignment="1"/>
    <xf numFmtId="0" fontId="35" fillId="27" borderId="34" xfId="0" applyFont="1" applyFill="1" applyBorder="1" applyAlignment="1"/>
    <xf numFmtId="0" fontId="0" fillId="0" borderId="6" xfId="0" applyFont="1" applyFill="1" applyBorder="1" applyAlignment="1">
      <alignment horizontal="center" wrapText="1"/>
    </xf>
    <xf numFmtId="0" fontId="50" fillId="0" borderId="6" xfId="0" applyFont="1" applyFill="1" applyBorder="1" applyAlignment="1">
      <alignment horizontal="center" wrapText="1"/>
    </xf>
    <xf numFmtId="0" fontId="66" fillId="0" borderId="6" xfId="0" applyFont="1" applyFill="1" applyBorder="1" applyAlignment="1">
      <alignment horizontal="center"/>
    </xf>
    <xf numFmtId="0" fontId="0" fillId="0" borderId="41" xfId="0" applyFont="1" applyFill="1" applyBorder="1" applyAlignment="1">
      <alignment horizontal="center" wrapText="1"/>
    </xf>
    <xf numFmtId="0" fontId="0" fillId="0" borderId="59" xfId="0" applyFill="1" applyBorder="1" applyAlignment="1">
      <alignment horizontal="center"/>
    </xf>
    <xf numFmtId="0" fontId="65" fillId="0" borderId="6" xfId="0" applyFont="1" applyFill="1" applyBorder="1"/>
    <xf numFmtId="0" fontId="65" fillId="0" borderId="59" xfId="0" applyFont="1" applyFill="1" applyBorder="1"/>
    <xf numFmtId="0" fontId="0" fillId="0" borderId="0" xfId="0" applyFont="1" applyFill="1" applyBorder="1" applyAlignment="1">
      <alignment horizontal="center" wrapText="1"/>
    </xf>
    <xf numFmtId="0" fontId="50" fillId="87" borderId="14" xfId="0" applyFont="1" applyFill="1" applyBorder="1" applyAlignment="1">
      <alignment horizontal="center"/>
    </xf>
    <xf numFmtId="0" fontId="50" fillId="87" borderId="38" xfId="0" applyFont="1" applyFill="1" applyBorder="1"/>
    <xf numFmtId="0" fontId="50" fillId="87" borderId="15" xfId="0" applyFont="1" applyFill="1" applyBorder="1"/>
    <xf numFmtId="0" fontId="0" fillId="0" borderId="28" xfId="0" applyNumberFormat="1" applyFont="1" applyFill="1" applyBorder="1" applyAlignment="1">
      <alignment horizontal="center"/>
    </xf>
    <xf numFmtId="0" fontId="0" fillId="0" borderId="59" xfId="0" applyBorder="1"/>
    <xf numFmtId="0" fontId="33" fillId="81" borderId="6" xfId="0" applyFont="1" applyFill="1" applyBorder="1" applyAlignment="1">
      <alignment horizontal="center" vertical="center"/>
    </xf>
    <xf numFmtId="0" fontId="33" fillId="81" borderId="59" xfId="0" applyFont="1" applyFill="1" applyBorder="1" applyAlignment="1">
      <alignment horizontal="center" vertical="center"/>
    </xf>
    <xf numFmtId="0" fontId="0" fillId="0" borderId="0" xfId="0" applyAlignment="1"/>
    <xf numFmtId="0" fontId="0" fillId="31" borderId="31" xfId="0" applyFill="1" applyBorder="1"/>
    <xf numFmtId="0" fontId="0" fillId="31" borderId="32" xfId="0" applyFill="1" applyBorder="1"/>
    <xf numFmtId="0" fontId="0" fillId="31" borderId="37" xfId="0" applyFill="1" applyBorder="1"/>
    <xf numFmtId="0" fontId="0" fillId="32" borderId="31" xfId="0" applyFill="1" applyBorder="1"/>
    <xf numFmtId="0" fontId="0" fillId="32" borderId="32" xfId="0" applyFill="1" applyBorder="1"/>
    <xf numFmtId="0" fontId="0" fillId="32" borderId="37" xfId="0" applyFill="1" applyBorder="1"/>
    <xf numFmtId="0" fontId="33" fillId="34" borderId="31" xfId="0" applyFont="1" applyFill="1" applyBorder="1" applyAlignment="1"/>
    <xf numFmtId="0" fontId="33" fillId="34" borderId="32" xfId="0" applyFont="1" applyFill="1" applyBorder="1" applyAlignment="1"/>
    <xf numFmtId="0" fontId="33" fillId="34" borderId="37" xfId="0" applyFont="1" applyFill="1" applyBorder="1" applyAlignment="1"/>
    <xf numFmtId="0" fontId="33" fillId="28" borderId="31" xfId="0" applyFont="1" applyFill="1" applyBorder="1" applyAlignment="1">
      <alignment horizontal="left"/>
    </xf>
    <xf numFmtId="0" fontId="33" fillId="28" borderId="32" xfId="0" applyFont="1" applyFill="1" applyBorder="1" applyAlignment="1">
      <alignment horizontal="left"/>
    </xf>
    <xf numFmtId="0" fontId="33" fillId="28" borderId="37" xfId="0" applyFont="1" applyFill="1" applyBorder="1" applyAlignment="1">
      <alignment horizontal="left"/>
    </xf>
    <xf numFmtId="0" fontId="33" fillId="32" borderId="31" xfId="0" applyFont="1" applyFill="1" applyBorder="1"/>
    <xf numFmtId="0" fontId="33" fillId="32" borderId="32" xfId="0" applyFont="1" applyFill="1" applyBorder="1"/>
    <xf numFmtId="0" fontId="33" fillId="32" borderId="37" xfId="0" applyFont="1" applyFill="1" applyBorder="1"/>
    <xf numFmtId="0" fontId="33" fillId="28" borderId="30" xfId="0" applyFont="1" applyFill="1" applyBorder="1" applyAlignment="1">
      <alignment horizontal="left"/>
    </xf>
    <xf numFmtId="0" fontId="33" fillId="34" borderId="30" xfId="0" applyFont="1" applyFill="1" applyBorder="1" applyAlignment="1">
      <alignment horizontal="left"/>
    </xf>
    <xf numFmtId="0" fontId="33" fillId="28" borderId="30" xfId="0" applyFont="1" applyFill="1" applyBorder="1" applyAlignment="1"/>
    <xf numFmtId="0" fontId="33" fillId="0" borderId="0" xfId="0" applyFont="1" applyFill="1" applyBorder="1" applyAlignment="1"/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left"/>
    </xf>
    <xf numFmtId="0" fontId="71" fillId="0" borderId="0" xfId="0" applyFont="1" applyFill="1" applyBorder="1" applyAlignment="1">
      <alignment horizontal="center"/>
    </xf>
    <xf numFmtId="0" fontId="76" fillId="0" borderId="38" xfId="0" applyFont="1" applyFill="1" applyBorder="1" applyAlignment="1">
      <alignment horizontal="left"/>
    </xf>
    <xf numFmtId="0" fontId="65" fillId="0" borderId="6" xfId="0" applyFont="1" applyFill="1" applyBorder="1" applyAlignment="1">
      <alignment horizontal="center"/>
    </xf>
    <xf numFmtId="0" fontId="65" fillId="0" borderId="59" xfId="0" applyFont="1" applyFill="1" applyBorder="1" applyAlignment="1">
      <alignment horizontal="center"/>
    </xf>
    <xf numFmtId="0" fontId="0" fillId="0" borderId="17" xfId="0" applyBorder="1"/>
    <xf numFmtId="0" fontId="0" fillId="82" borderId="25" xfId="0" applyFont="1" applyFill="1" applyBorder="1" applyAlignment="1">
      <alignment horizontal="center" vertical="center" wrapText="1"/>
    </xf>
    <xf numFmtId="0" fontId="33" fillId="89" borderId="38" xfId="0" applyFont="1" applyFill="1" applyBorder="1" applyAlignment="1">
      <alignment horizontal="center"/>
    </xf>
    <xf numFmtId="0" fontId="0" fillId="89" borderId="38" xfId="0" applyFill="1" applyBorder="1" applyAlignment="1">
      <alignment horizontal="center"/>
    </xf>
    <xf numFmtId="0" fontId="0" fillId="86" borderId="25" xfId="0" applyFill="1" applyBorder="1"/>
    <xf numFmtId="0" fontId="0" fillId="86" borderId="38" xfId="0" applyFill="1" applyBorder="1"/>
    <xf numFmtId="0" fontId="0" fillId="86" borderId="75" xfId="0" applyFill="1" applyBorder="1"/>
    <xf numFmtId="0" fontId="0" fillId="0" borderId="40" xfId="0" applyFont="1" applyFill="1" applyBorder="1" applyAlignment="1">
      <alignment horizontal="center" wrapText="1"/>
    </xf>
    <xf numFmtId="0" fontId="50" fillId="0" borderId="55" xfId="0" applyFont="1" applyFill="1" applyBorder="1" applyAlignment="1">
      <alignment horizontal="center" wrapText="1"/>
    </xf>
    <xf numFmtId="0" fontId="0" fillId="0" borderId="55" xfId="0" applyFont="1" applyFill="1" applyBorder="1" applyAlignment="1">
      <alignment horizontal="center" wrapText="1"/>
    </xf>
    <xf numFmtId="0" fontId="0" fillId="0" borderId="55" xfId="0" applyFill="1" applyBorder="1" applyAlignment="1">
      <alignment horizontal="center"/>
    </xf>
    <xf numFmtId="0" fontId="66" fillId="0" borderId="55" xfId="0" applyFont="1" applyFill="1" applyBorder="1" applyAlignment="1">
      <alignment horizontal="center"/>
    </xf>
    <xf numFmtId="0" fontId="0" fillId="0" borderId="55" xfId="0" applyFill="1" applyBorder="1"/>
    <xf numFmtId="0" fontId="0" fillId="0" borderId="0" xfId="0" applyFill="1" applyBorder="1" applyAlignment="1"/>
    <xf numFmtId="0" fontId="0" fillId="0" borderId="0" xfId="0" applyBorder="1" applyAlignment="1"/>
    <xf numFmtId="0" fontId="69" fillId="0" borderId="0" xfId="0" applyFont="1" applyBorder="1"/>
    <xf numFmtId="0" fontId="0" fillId="84" borderId="59" xfId="0" applyFill="1" applyBorder="1" applyAlignment="1">
      <alignment horizontal="center"/>
    </xf>
    <xf numFmtId="0" fontId="66" fillId="0" borderId="0" xfId="0" applyFont="1" applyFill="1" applyAlignment="1">
      <alignment horizontal="center"/>
    </xf>
    <xf numFmtId="0" fontId="78" fillId="0" borderId="6" xfId="0" applyFont="1" applyFill="1" applyBorder="1" applyAlignment="1">
      <alignment horizontal="center"/>
    </xf>
    <xf numFmtId="0" fontId="79" fillId="0" borderId="6" xfId="0" applyFont="1" applyFill="1" applyBorder="1" applyAlignment="1">
      <alignment horizontal="center"/>
    </xf>
    <xf numFmtId="0" fontId="78" fillId="0" borderId="59" xfId="0" applyFont="1" applyFill="1" applyBorder="1" applyAlignment="1">
      <alignment horizontal="center"/>
    </xf>
    <xf numFmtId="0" fontId="78" fillId="0" borderId="6" xfId="0" applyFont="1" applyFill="1" applyBorder="1" applyAlignment="1">
      <alignment horizontal="center" wrapText="1"/>
    </xf>
    <xf numFmtId="0" fontId="0" fillId="0" borderId="6" xfId="0" applyFont="1" applyFill="1" applyBorder="1" applyAlignment="1"/>
    <xf numFmtId="0" fontId="0" fillId="0" borderId="39" xfId="0" applyFont="1" applyFill="1" applyBorder="1" applyAlignment="1"/>
    <xf numFmtId="0" fontId="0" fillId="0" borderId="41" xfId="0" applyFont="1" applyFill="1" applyBorder="1" applyAlignment="1">
      <alignment horizontal="center"/>
    </xf>
    <xf numFmtId="0" fontId="0" fillId="0" borderId="59" xfId="0" applyFill="1" applyBorder="1"/>
    <xf numFmtId="0" fontId="0" fillId="29" borderId="6" xfId="0" applyFont="1" applyFill="1" applyBorder="1" applyAlignment="1">
      <alignment horizontal="center"/>
    </xf>
    <xf numFmtId="0" fontId="0" fillId="0" borderId="55" xfId="0" applyBorder="1"/>
    <xf numFmtId="0" fontId="0" fillId="0" borderId="14" xfId="0" applyBorder="1"/>
    <xf numFmtId="0" fontId="0" fillId="0" borderId="55" xfId="0" applyBorder="1" applyAlignment="1">
      <alignment horizontal="center"/>
    </xf>
    <xf numFmtId="0" fontId="33" fillId="0" borderId="14" xfId="0" applyFont="1" applyBorder="1"/>
    <xf numFmtId="0" fontId="0" fillId="0" borderId="14" xfId="0" applyFont="1" applyFill="1" applyBorder="1" applyAlignment="1">
      <alignment horizontal="center" wrapText="1"/>
    </xf>
    <xf numFmtId="0" fontId="0" fillId="0" borderId="14" xfId="0" applyFill="1" applyBorder="1"/>
    <xf numFmtId="0" fontId="65" fillId="0" borderId="14" xfId="0" applyFont="1" applyFill="1" applyBorder="1"/>
    <xf numFmtId="0" fontId="50" fillId="0" borderId="0" xfId="0" applyFont="1" applyFill="1" applyBorder="1" applyAlignment="1">
      <alignment horizontal="center" wrapText="1"/>
    </xf>
    <xf numFmtId="0" fontId="66" fillId="0" borderId="0" xfId="0" applyFont="1" applyFill="1" applyBorder="1" applyAlignment="1">
      <alignment horizontal="center"/>
    </xf>
    <xf numFmtId="0" fontId="65" fillId="0" borderId="55" xfId="0" applyFont="1" applyFill="1" applyBorder="1"/>
    <xf numFmtId="0" fontId="35" fillId="87" borderId="6" xfId="0" applyFont="1" applyFill="1" applyBorder="1" applyAlignment="1">
      <alignment horizontal="center" vertical="center" wrapText="1"/>
    </xf>
    <xf numFmtId="0" fontId="75" fillId="26" borderId="6" xfId="0" applyFont="1" applyFill="1" applyBorder="1" applyAlignment="1">
      <alignment horizontal="center" vertical="center" wrapText="1"/>
    </xf>
    <xf numFmtId="0" fontId="75" fillId="82" borderId="6" xfId="0" applyFont="1" applyFill="1" applyBorder="1" applyAlignment="1">
      <alignment horizontal="center" vertical="center" wrapText="1"/>
    </xf>
    <xf numFmtId="0" fontId="75" fillId="85" borderId="6" xfId="0" applyFont="1" applyFill="1" applyBorder="1" applyAlignment="1">
      <alignment horizontal="center" vertical="center" wrapText="1"/>
    </xf>
    <xf numFmtId="0" fontId="75" fillId="35" borderId="6" xfId="0" applyFont="1" applyFill="1" applyBorder="1" applyAlignment="1">
      <alignment horizontal="center" vertical="center" wrapText="1"/>
    </xf>
    <xf numFmtId="0" fontId="75" fillId="83" borderId="6" xfId="0" applyFont="1" applyFill="1" applyBorder="1" applyAlignment="1">
      <alignment horizontal="center" vertical="center" wrapText="1"/>
    </xf>
    <xf numFmtId="0" fontId="75" fillId="84" borderId="6" xfId="0" applyFont="1" applyFill="1" applyBorder="1" applyAlignment="1">
      <alignment horizontal="center" vertical="center" wrapText="1"/>
    </xf>
    <xf numFmtId="0" fontId="75" fillId="30" borderId="6" xfId="0" applyFont="1" applyFill="1" applyBorder="1" applyAlignment="1">
      <alignment horizontal="center" vertical="center" wrapText="1"/>
    </xf>
    <xf numFmtId="0" fontId="0" fillId="31" borderId="6" xfId="0" applyFill="1" applyBorder="1" applyAlignment="1">
      <alignment horizontal="center"/>
    </xf>
    <xf numFmtId="0" fontId="35" fillId="91" borderId="6" xfId="0" applyFont="1" applyFill="1" applyBorder="1"/>
    <xf numFmtId="0" fontId="0" fillId="0" borderId="71" xfId="0" applyFill="1" applyBorder="1" applyAlignment="1">
      <alignment horizontal="left"/>
    </xf>
    <xf numFmtId="0" fontId="0" fillId="0" borderId="72" xfId="0" applyFill="1" applyBorder="1" applyAlignment="1">
      <alignment horizontal="left"/>
    </xf>
    <xf numFmtId="0" fontId="0" fillId="0" borderId="73" xfId="0" applyFill="1" applyBorder="1" applyAlignment="1">
      <alignment horizontal="left"/>
    </xf>
    <xf numFmtId="0" fontId="0" fillId="0" borderId="74" xfId="0" applyFill="1" applyBorder="1" applyAlignment="1">
      <alignment horizontal="left"/>
    </xf>
    <xf numFmtId="0" fontId="0" fillId="0" borderId="18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0" fontId="50" fillId="87" borderId="76" xfId="0" applyFont="1" applyFill="1" applyBorder="1" applyAlignment="1">
      <alignment horizontal="center"/>
    </xf>
    <xf numFmtId="0" fontId="50" fillId="87" borderId="77" xfId="0" applyFont="1" applyFill="1" applyBorder="1" applyAlignment="1">
      <alignment horizontal="center"/>
    </xf>
    <xf numFmtId="0" fontId="33" fillId="82" borderId="25" xfId="0" applyFont="1" applyFill="1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38" xfId="0" applyBorder="1" applyAlignment="1"/>
    <xf numFmtId="0" fontId="0" fillId="0" borderId="12" xfId="0" applyBorder="1" applyAlignment="1"/>
    <xf numFmtId="0" fontId="0" fillId="0" borderId="39" xfId="0" applyBorder="1" applyAlignment="1"/>
    <xf numFmtId="0" fontId="0" fillId="0" borderId="38" xfId="0" quotePrefix="1" applyBorder="1" applyAlignment="1"/>
    <xf numFmtId="0" fontId="0" fillId="86" borderId="78" xfId="0" applyFill="1" applyBorder="1" applyAlignment="1">
      <alignment horizontal="center"/>
    </xf>
    <xf numFmtId="0" fontId="0" fillId="86" borderId="8" xfId="0" applyFill="1" applyBorder="1" applyAlignment="1">
      <alignment horizontal="center"/>
    </xf>
    <xf numFmtId="0" fontId="33" fillId="29" borderId="60" xfId="0" applyFont="1" applyFill="1" applyBorder="1" applyAlignment="1">
      <alignment horizontal="left" wrapText="1"/>
    </xf>
    <xf numFmtId="0" fontId="33" fillId="29" borderId="0" xfId="0" applyFont="1" applyFill="1" applyBorder="1" applyAlignment="1">
      <alignment horizontal="left" wrapText="1"/>
    </xf>
    <xf numFmtId="0" fontId="35" fillId="35" borderId="0" xfId="0" applyFont="1" applyFill="1" applyAlignment="1">
      <alignment horizontal="center" vertical="center"/>
    </xf>
    <xf numFmtId="0" fontId="35" fillId="92" borderId="14" xfId="0" applyFont="1" applyFill="1" applyBorder="1" applyAlignment="1">
      <alignment horizontal="center" vertical="center"/>
    </xf>
    <xf numFmtId="0" fontId="0" fillId="91" borderId="14" xfId="0" applyFill="1" applyBorder="1" applyAlignment="1"/>
    <xf numFmtId="0" fontId="33" fillId="29" borderId="31" xfId="0" applyFont="1" applyFill="1" applyBorder="1" applyAlignment="1">
      <alignment horizontal="left"/>
    </xf>
    <xf numFmtId="0" fontId="33" fillId="29" borderId="37" xfId="0" applyFont="1" applyFill="1" applyBorder="1" applyAlignment="1">
      <alignment horizontal="left"/>
    </xf>
    <xf numFmtId="0" fontId="0" fillId="26" borderId="31" xfId="0" applyFill="1" applyBorder="1" applyAlignment="1" applyProtection="1">
      <alignment horizontal="center"/>
      <protection locked="0"/>
    </xf>
    <xf numFmtId="0" fontId="0" fillId="26" borderId="32" xfId="0" applyFill="1" applyBorder="1" applyAlignment="1" applyProtection="1">
      <alignment horizontal="center"/>
      <protection locked="0"/>
    </xf>
    <xf numFmtId="0" fontId="0" fillId="26" borderId="37" xfId="0" applyFill="1" applyBorder="1" applyAlignment="1" applyProtection="1">
      <alignment horizontal="center"/>
      <protection locked="0"/>
    </xf>
    <xf numFmtId="0" fontId="33" fillId="28" borderId="30" xfId="0" applyFont="1" applyFill="1" applyBorder="1" applyAlignment="1"/>
    <xf numFmtId="0" fontId="0" fillId="26" borderId="30" xfId="0" applyFill="1" applyBorder="1" applyAlignment="1" applyProtection="1">
      <alignment horizontal="center"/>
      <protection locked="0"/>
    </xf>
    <xf numFmtId="0" fontId="33" fillId="28" borderId="31" xfId="0" applyFont="1" applyFill="1" applyBorder="1" applyAlignment="1">
      <alignment horizontal="left"/>
    </xf>
    <xf numFmtId="0" fontId="33" fillId="28" borderId="32" xfId="0" applyFont="1" applyFill="1" applyBorder="1" applyAlignment="1">
      <alignment horizontal="left"/>
    </xf>
    <xf numFmtId="0" fontId="33" fillId="28" borderId="37" xfId="0" applyFont="1" applyFill="1" applyBorder="1" applyAlignment="1">
      <alignment horizontal="left"/>
    </xf>
    <xf numFmtId="0" fontId="33" fillId="34" borderId="31" xfId="0" applyFont="1" applyFill="1" applyBorder="1" applyAlignment="1"/>
    <xf numFmtId="0" fontId="33" fillId="34" borderId="32" xfId="0" applyFont="1" applyFill="1" applyBorder="1" applyAlignment="1"/>
    <xf numFmtId="0" fontId="33" fillId="34" borderId="37" xfId="0" applyFont="1" applyFill="1" applyBorder="1" applyAlignment="1"/>
    <xf numFmtId="0" fontId="0" fillId="30" borderId="31" xfId="0" applyFill="1" applyBorder="1" applyAlignment="1" applyProtection="1">
      <alignment horizontal="center"/>
      <protection locked="0"/>
    </xf>
    <xf numFmtId="0" fontId="0" fillId="30" borderId="32" xfId="0" applyFill="1" applyBorder="1" applyAlignment="1" applyProtection="1">
      <alignment horizontal="center"/>
      <protection locked="0"/>
    </xf>
    <xf numFmtId="0" fontId="0" fillId="30" borderId="37" xfId="0" applyFill="1" applyBorder="1" applyAlignment="1" applyProtection="1">
      <alignment horizontal="center"/>
      <protection locked="0"/>
    </xf>
    <xf numFmtId="0" fontId="33" fillId="28" borderId="30" xfId="0" applyFont="1" applyFill="1" applyBorder="1" applyAlignment="1">
      <alignment horizontal="left"/>
    </xf>
    <xf numFmtId="0" fontId="0" fillId="30" borderId="30" xfId="0" applyFill="1" applyBorder="1" applyAlignment="1">
      <alignment horizontal="center"/>
    </xf>
    <xf numFmtId="0" fontId="33" fillId="34" borderId="30" xfId="0" applyFont="1" applyFill="1" applyBorder="1" applyAlignment="1">
      <alignment horizontal="left"/>
    </xf>
    <xf numFmtId="0" fontId="33" fillId="32" borderId="30" xfId="0" applyFont="1" applyFill="1" applyBorder="1" applyAlignment="1"/>
    <xf numFmtId="0" fontId="33" fillId="29" borderId="30" xfId="0" applyFont="1" applyFill="1" applyBorder="1" applyAlignment="1">
      <alignment horizontal="left"/>
    </xf>
    <xf numFmtId="0" fontId="0" fillId="31" borderId="31" xfId="0" applyFill="1" applyBorder="1"/>
    <xf numFmtId="0" fontId="0" fillId="31" borderId="32" xfId="0" applyFill="1" applyBorder="1"/>
    <xf numFmtId="0" fontId="0" fillId="31" borderId="37" xfId="0" applyFill="1" applyBorder="1"/>
    <xf numFmtId="0" fontId="0" fillId="32" borderId="31" xfId="0" applyFill="1" applyBorder="1"/>
    <xf numFmtId="0" fontId="0" fillId="32" borderId="32" xfId="0" applyFill="1" applyBorder="1"/>
    <xf numFmtId="0" fontId="0" fillId="32" borderId="37" xfId="0" applyFill="1" applyBorder="1"/>
    <xf numFmtId="0" fontId="33" fillId="32" borderId="31" xfId="0" applyFont="1" applyFill="1" applyBorder="1"/>
    <xf numFmtId="0" fontId="33" fillId="32" borderId="32" xfId="0" applyFont="1" applyFill="1" applyBorder="1"/>
    <xf numFmtId="0" fontId="33" fillId="32" borderId="37" xfId="0" applyFont="1" applyFill="1" applyBorder="1"/>
    <xf numFmtId="0" fontId="0" fillId="90" borderId="59" xfId="0" applyFill="1" applyBorder="1"/>
    <xf numFmtId="0" fontId="0" fillId="90" borderId="59" xfId="0" applyFill="1" applyBorder="1" applyAlignment="1">
      <alignment horizontal="left"/>
    </xf>
    <xf numFmtId="0" fontId="0" fillId="0" borderId="6" xfId="0" applyBorder="1" applyAlignment="1"/>
    <xf numFmtId="0" fontId="0" fillId="25" borderId="6" xfId="0" applyFill="1" applyBorder="1"/>
    <xf numFmtId="0" fontId="0" fillId="25" borderId="6" xfId="0" applyFill="1" applyBorder="1" applyAlignment="1">
      <alignment horizontal="left"/>
    </xf>
    <xf numFmtId="0" fontId="71" fillId="0" borderId="6" xfId="0" applyFont="1" applyBorder="1"/>
    <xf numFmtId="0" fontId="71" fillId="0" borderId="6" xfId="0" applyFont="1" applyBorder="1" applyAlignment="1">
      <alignment horizontal="left"/>
    </xf>
    <xf numFmtId="0" fontId="0" fillId="30" borderId="31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33" fillId="31" borderId="6" xfId="0" applyFont="1" applyFill="1" applyBorder="1" applyAlignment="1">
      <alignment horizontal="center" vertical="center"/>
    </xf>
  </cellXfs>
  <cellStyles count="1629">
    <cellStyle name=" 1" xfId="1" xr:uid="{00000000-0005-0000-0000-000000000000}"/>
    <cellStyle name=" 1 2" xfId="2" xr:uid="{00000000-0005-0000-0000-000001000000}"/>
    <cellStyle name=" 1 2 2" xfId="217" xr:uid="{00000000-0005-0000-0000-000002000000}"/>
    <cellStyle name=" 1 2 3" xfId="218" xr:uid="{00000000-0005-0000-0000-000003000000}"/>
    <cellStyle name=" 1 3" xfId="3" xr:uid="{00000000-0005-0000-0000-000004000000}"/>
    <cellStyle name=" 1 3 2" xfId="219" xr:uid="{00000000-0005-0000-0000-000005000000}"/>
    <cellStyle name=" 1 3 3" xfId="220" xr:uid="{00000000-0005-0000-0000-000006000000}"/>
    <cellStyle name=" 1 4" xfId="4" xr:uid="{00000000-0005-0000-0000-000007000000}"/>
    <cellStyle name=" 1 4 2" xfId="221" xr:uid="{00000000-0005-0000-0000-000008000000}"/>
    <cellStyle name=" 1 4 3" xfId="222" xr:uid="{00000000-0005-0000-0000-000009000000}"/>
    <cellStyle name=" 1 5" xfId="5" xr:uid="{00000000-0005-0000-0000-00000A000000}"/>
    <cellStyle name=" 1 5 2" xfId="223" xr:uid="{00000000-0005-0000-0000-00000B000000}"/>
    <cellStyle name=" 1 5 3" xfId="224" xr:uid="{00000000-0005-0000-0000-00000C000000}"/>
    <cellStyle name="_x000d__x000a_JournalTemplate=C:\COMFO\CTALK\JOURSTD.TPL_x000d__x000a_LbStateAddress=3 3 0 251 1 89 2 311_x000d__x000a_LbStateJou" xfId="1627" xr:uid="{00000000-0005-0000-0000-00000D000000}"/>
    <cellStyle name="_Action Items" xfId="6" xr:uid="{00000000-0005-0000-0000-00000E000000}"/>
    <cellStyle name="_Action Items 2" xfId="7" xr:uid="{00000000-0005-0000-0000-00000F000000}"/>
    <cellStyle name="_Action Items 2 10" xfId="225" xr:uid="{00000000-0005-0000-0000-000010000000}"/>
    <cellStyle name="_Action Items 2 11" xfId="226" xr:uid="{00000000-0005-0000-0000-000011000000}"/>
    <cellStyle name="_Action Items 2 12" xfId="227" xr:uid="{00000000-0005-0000-0000-000012000000}"/>
    <cellStyle name="_Action Items 2 13" xfId="228" xr:uid="{00000000-0005-0000-0000-000013000000}"/>
    <cellStyle name="_Action Items 2 14" xfId="229" xr:uid="{00000000-0005-0000-0000-000014000000}"/>
    <cellStyle name="_Action Items 2 15" xfId="230" xr:uid="{00000000-0005-0000-0000-000015000000}"/>
    <cellStyle name="_Action Items 2 16" xfId="231" xr:uid="{00000000-0005-0000-0000-000016000000}"/>
    <cellStyle name="_Action Items 2 17" xfId="232" xr:uid="{00000000-0005-0000-0000-000017000000}"/>
    <cellStyle name="_Action Items 2 2" xfId="233" xr:uid="{00000000-0005-0000-0000-000018000000}"/>
    <cellStyle name="_Action Items 2 3" xfId="234" xr:uid="{00000000-0005-0000-0000-000019000000}"/>
    <cellStyle name="_Action Items 2 4" xfId="235" xr:uid="{00000000-0005-0000-0000-00001A000000}"/>
    <cellStyle name="_Action Items 2 5" xfId="236" xr:uid="{00000000-0005-0000-0000-00001B000000}"/>
    <cellStyle name="_Action Items 2 6" xfId="237" xr:uid="{00000000-0005-0000-0000-00001C000000}"/>
    <cellStyle name="_Action Items 2 7" xfId="238" xr:uid="{00000000-0005-0000-0000-00001D000000}"/>
    <cellStyle name="_Action Items 2 8" xfId="239" xr:uid="{00000000-0005-0000-0000-00001E000000}"/>
    <cellStyle name="_Action Items 2 9" xfId="240" xr:uid="{00000000-0005-0000-0000-00001F000000}"/>
    <cellStyle name="_Combined_SS" xfId="8" xr:uid="{00000000-0005-0000-0000-000020000000}"/>
    <cellStyle name="_Combined_SS 2" xfId="9" xr:uid="{00000000-0005-0000-0000-000021000000}"/>
    <cellStyle name="_Combined_SS 2 10" xfId="241" xr:uid="{00000000-0005-0000-0000-000022000000}"/>
    <cellStyle name="_Combined_SS 2 11" xfId="242" xr:uid="{00000000-0005-0000-0000-000023000000}"/>
    <cellStyle name="_Combined_SS 2 12" xfId="243" xr:uid="{00000000-0005-0000-0000-000024000000}"/>
    <cellStyle name="_Combined_SS 2 13" xfId="244" xr:uid="{00000000-0005-0000-0000-000025000000}"/>
    <cellStyle name="_Combined_SS 2 14" xfId="245" xr:uid="{00000000-0005-0000-0000-000026000000}"/>
    <cellStyle name="_Combined_SS 2 15" xfId="246" xr:uid="{00000000-0005-0000-0000-000027000000}"/>
    <cellStyle name="_Combined_SS 2 16" xfId="247" xr:uid="{00000000-0005-0000-0000-000028000000}"/>
    <cellStyle name="_Combined_SS 2 17" xfId="248" xr:uid="{00000000-0005-0000-0000-000029000000}"/>
    <cellStyle name="_Combined_SS 2 2" xfId="249" xr:uid="{00000000-0005-0000-0000-00002A000000}"/>
    <cellStyle name="_Combined_SS 2 3" xfId="250" xr:uid="{00000000-0005-0000-0000-00002B000000}"/>
    <cellStyle name="_Combined_SS 2 4" xfId="251" xr:uid="{00000000-0005-0000-0000-00002C000000}"/>
    <cellStyle name="_Combined_SS 2 5" xfId="252" xr:uid="{00000000-0005-0000-0000-00002D000000}"/>
    <cellStyle name="_Combined_SS 2 6" xfId="253" xr:uid="{00000000-0005-0000-0000-00002E000000}"/>
    <cellStyle name="_Combined_SS 2 7" xfId="254" xr:uid="{00000000-0005-0000-0000-00002F000000}"/>
    <cellStyle name="_Combined_SS 2 8" xfId="255" xr:uid="{00000000-0005-0000-0000-000030000000}"/>
    <cellStyle name="_Combined_SS 2 9" xfId="256" xr:uid="{00000000-0005-0000-0000-000031000000}"/>
    <cellStyle name="_Config Info" xfId="10" xr:uid="{00000000-0005-0000-0000-000032000000}"/>
    <cellStyle name="_Config Info 2" xfId="11" xr:uid="{00000000-0005-0000-0000-000033000000}"/>
    <cellStyle name="_Config Info 2 10" xfId="257" xr:uid="{00000000-0005-0000-0000-000034000000}"/>
    <cellStyle name="_Config Info 2 11" xfId="258" xr:uid="{00000000-0005-0000-0000-000035000000}"/>
    <cellStyle name="_Config Info 2 12" xfId="259" xr:uid="{00000000-0005-0000-0000-000036000000}"/>
    <cellStyle name="_Config Info 2 13" xfId="260" xr:uid="{00000000-0005-0000-0000-000037000000}"/>
    <cellStyle name="_Config Info 2 14" xfId="261" xr:uid="{00000000-0005-0000-0000-000038000000}"/>
    <cellStyle name="_Config Info 2 15" xfId="262" xr:uid="{00000000-0005-0000-0000-000039000000}"/>
    <cellStyle name="_Config Info 2 16" xfId="263" xr:uid="{00000000-0005-0000-0000-00003A000000}"/>
    <cellStyle name="_Config Info 2 17" xfId="264" xr:uid="{00000000-0005-0000-0000-00003B000000}"/>
    <cellStyle name="_Config Info 2 2" xfId="265" xr:uid="{00000000-0005-0000-0000-00003C000000}"/>
    <cellStyle name="_Config Info 2 3" xfId="266" xr:uid="{00000000-0005-0000-0000-00003D000000}"/>
    <cellStyle name="_Config Info 2 4" xfId="267" xr:uid="{00000000-0005-0000-0000-00003E000000}"/>
    <cellStyle name="_Config Info 2 5" xfId="268" xr:uid="{00000000-0005-0000-0000-00003F000000}"/>
    <cellStyle name="_Config Info 2 6" xfId="269" xr:uid="{00000000-0005-0000-0000-000040000000}"/>
    <cellStyle name="_Config Info 2 7" xfId="270" xr:uid="{00000000-0005-0000-0000-000041000000}"/>
    <cellStyle name="_Config Info 2 8" xfId="271" xr:uid="{00000000-0005-0000-0000-000042000000}"/>
    <cellStyle name="_Config Info 2 9" xfId="272" xr:uid="{00000000-0005-0000-0000-000043000000}"/>
    <cellStyle name="_Project Scope" xfId="12" xr:uid="{00000000-0005-0000-0000-000044000000}"/>
    <cellStyle name="_Project Scope 2" xfId="13" xr:uid="{00000000-0005-0000-0000-000045000000}"/>
    <cellStyle name="_Project Scope 2 10" xfId="273" xr:uid="{00000000-0005-0000-0000-000046000000}"/>
    <cellStyle name="_Project Scope 2 11" xfId="274" xr:uid="{00000000-0005-0000-0000-000047000000}"/>
    <cellStyle name="_Project Scope 2 12" xfId="275" xr:uid="{00000000-0005-0000-0000-000048000000}"/>
    <cellStyle name="_Project Scope 2 13" xfId="276" xr:uid="{00000000-0005-0000-0000-000049000000}"/>
    <cellStyle name="_Project Scope 2 14" xfId="277" xr:uid="{00000000-0005-0000-0000-00004A000000}"/>
    <cellStyle name="_Project Scope 2 15" xfId="278" xr:uid="{00000000-0005-0000-0000-00004B000000}"/>
    <cellStyle name="_Project Scope 2 16" xfId="279" xr:uid="{00000000-0005-0000-0000-00004C000000}"/>
    <cellStyle name="_Project Scope 2 17" xfId="280" xr:uid="{00000000-0005-0000-0000-00004D000000}"/>
    <cellStyle name="_Project Scope 2 2" xfId="281" xr:uid="{00000000-0005-0000-0000-00004E000000}"/>
    <cellStyle name="_Project Scope 2 3" xfId="282" xr:uid="{00000000-0005-0000-0000-00004F000000}"/>
    <cellStyle name="_Project Scope 2 4" xfId="283" xr:uid="{00000000-0005-0000-0000-000050000000}"/>
    <cellStyle name="_Project Scope 2 5" xfId="284" xr:uid="{00000000-0005-0000-0000-000051000000}"/>
    <cellStyle name="_Project Scope 2 6" xfId="285" xr:uid="{00000000-0005-0000-0000-000052000000}"/>
    <cellStyle name="_Project Scope 2 7" xfId="286" xr:uid="{00000000-0005-0000-0000-000053000000}"/>
    <cellStyle name="_Project Scope 2 8" xfId="287" xr:uid="{00000000-0005-0000-0000-000054000000}"/>
    <cellStyle name="_Project Scope 2 9" xfId="288" xr:uid="{00000000-0005-0000-0000-000055000000}"/>
    <cellStyle name="20% - Accent1 2" xfId="14" xr:uid="{00000000-0005-0000-0000-000056000000}"/>
    <cellStyle name="20% - Accent1 3" xfId="15" xr:uid="{00000000-0005-0000-0000-000057000000}"/>
    <cellStyle name="20% - Accent1 4" xfId="16" xr:uid="{00000000-0005-0000-0000-000058000000}"/>
    <cellStyle name="20% - Accent1 5" xfId="289" xr:uid="{00000000-0005-0000-0000-000059000000}"/>
    <cellStyle name="20% - Accent1 5 2" xfId="290" xr:uid="{00000000-0005-0000-0000-00005A000000}"/>
    <cellStyle name="20% - Accent1 6" xfId="291" xr:uid="{00000000-0005-0000-0000-00005B000000}"/>
    <cellStyle name="20% - Accent1 6 2" xfId="292" xr:uid="{00000000-0005-0000-0000-00005C000000}"/>
    <cellStyle name="20% - Accent1 7" xfId="293" xr:uid="{00000000-0005-0000-0000-00005D000000}"/>
    <cellStyle name="20% - Accent1 7 2" xfId="294" xr:uid="{00000000-0005-0000-0000-00005E000000}"/>
    <cellStyle name="20% - Accent1 8" xfId="295" xr:uid="{00000000-0005-0000-0000-00005F000000}"/>
    <cellStyle name="20% - Accent1 8 2" xfId="296" xr:uid="{00000000-0005-0000-0000-000060000000}"/>
    <cellStyle name="20% - Accent2 2" xfId="17" xr:uid="{00000000-0005-0000-0000-000061000000}"/>
    <cellStyle name="20% - Accent2 3" xfId="18" xr:uid="{00000000-0005-0000-0000-000062000000}"/>
    <cellStyle name="20% - Accent2 4" xfId="19" xr:uid="{00000000-0005-0000-0000-000063000000}"/>
    <cellStyle name="20% - Accent2 5" xfId="297" xr:uid="{00000000-0005-0000-0000-000064000000}"/>
    <cellStyle name="20% - Accent2 5 2" xfId="298" xr:uid="{00000000-0005-0000-0000-000065000000}"/>
    <cellStyle name="20% - Accent2 6" xfId="299" xr:uid="{00000000-0005-0000-0000-000066000000}"/>
    <cellStyle name="20% - Accent2 6 2" xfId="300" xr:uid="{00000000-0005-0000-0000-000067000000}"/>
    <cellStyle name="20% - Accent2 7" xfId="301" xr:uid="{00000000-0005-0000-0000-000068000000}"/>
    <cellStyle name="20% - Accent2 7 2" xfId="302" xr:uid="{00000000-0005-0000-0000-000069000000}"/>
    <cellStyle name="20% - Accent2 8" xfId="303" xr:uid="{00000000-0005-0000-0000-00006A000000}"/>
    <cellStyle name="20% - Accent2 8 2" xfId="304" xr:uid="{00000000-0005-0000-0000-00006B000000}"/>
    <cellStyle name="20% - Accent3 2" xfId="20" xr:uid="{00000000-0005-0000-0000-00006C000000}"/>
    <cellStyle name="20% - Accent3 3" xfId="21" xr:uid="{00000000-0005-0000-0000-00006D000000}"/>
    <cellStyle name="20% - Accent3 4" xfId="22" xr:uid="{00000000-0005-0000-0000-00006E000000}"/>
    <cellStyle name="20% - Accent3 5" xfId="305" xr:uid="{00000000-0005-0000-0000-00006F000000}"/>
    <cellStyle name="20% - Accent3 5 2" xfId="306" xr:uid="{00000000-0005-0000-0000-000070000000}"/>
    <cellStyle name="20% - Accent3 6" xfId="307" xr:uid="{00000000-0005-0000-0000-000071000000}"/>
    <cellStyle name="20% - Accent3 6 2" xfId="308" xr:uid="{00000000-0005-0000-0000-000072000000}"/>
    <cellStyle name="20% - Accent3 7" xfId="309" xr:uid="{00000000-0005-0000-0000-000073000000}"/>
    <cellStyle name="20% - Accent3 7 2" xfId="310" xr:uid="{00000000-0005-0000-0000-000074000000}"/>
    <cellStyle name="20% - Accent3 8" xfId="311" xr:uid="{00000000-0005-0000-0000-000075000000}"/>
    <cellStyle name="20% - Accent3 8 2" xfId="312" xr:uid="{00000000-0005-0000-0000-000076000000}"/>
    <cellStyle name="20% - Accent4 2" xfId="23" xr:uid="{00000000-0005-0000-0000-000077000000}"/>
    <cellStyle name="20% - Accent4 3" xfId="24" xr:uid="{00000000-0005-0000-0000-000078000000}"/>
    <cellStyle name="20% - Accent4 4" xfId="25" xr:uid="{00000000-0005-0000-0000-000079000000}"/>
    <cellStyle name="20% - Accent4 5" xfId="313" xr:uid="{00000000-0005-0000-0000-00007A000000}"/>
    <cellStyle name="20% - Accent4 5 2" xfId="314" xr:uid="{00000000-0005-0000-0000-00007B000000}"/>
    <cellStyle name="20% - Accent4 6" xfId="315" xr:uid="{00000000-0005-0000-0000-00007C000000}"/>
    <cellStyle name="20% - Accent4 6 2" xfId="316" xr:uid="{00000000-0005-0000-0000-00007D000000}"/>
    <cellStyle name="20% - Accent4 7" xfId="317" xr:uid="{00000000-0005-0000-0000-00007E000000}"/>
    <cellStyle name="20% - Accent4 7 2" xfId="318" xr:uid="{00000000-0005-0000-0000-00007F000000}"/>
    <cellStyle name="20% - Accent4 8" xfId="319" xr:uid="{00000000-0005-0000-0000-000080000000}"/>
    <cellStyle name="20% - Accent4 8 2" xfId="320" xr:uid="{00000000-0005-0000-0000-000081000000}"/>
    <cellStyle name="20% - Accent5 2" xfId="26" xr:uid="{00000000-0005-0000-0000-000082000000}"/>
    <cellStyle name="20% - Accent5 3" xfId="27" xr:uid="{00000000-0005-0000-0000-000083000000}"/>
    <cellStyle name="20% - Accent5 4" xfId="28" xr:uid="{00000000-0005-0000-0000-000084000000}"/>
    <cellStyle name="20% - Accent5 5" xfId="321" xr:uid="{00000000-0005-0000-0000-000085000000}"/>
    <cellStyle name="20% - Accent5 5 2" xfId="322" xr:uid="{00000000-0005-0000-0000-000086000000}"/>
    <cellStyle name="20% - Accent5 6" xfId="323" xr:uid="{00000000-0005-0000-0000-000087000000}"/>
    <cellStyle name="20% - Accent5 6 2" xfId="324" xr:uid="{00000000-0005-0000-0000-000088000000}"/>
    <cellStyle name="20% - Accent5 7" xfId="325" xr:uid="{00000000-0005-0000-0000-000089000000}"/>
    <cellStyle name="20% - Accent5 7 2" xfId="326" xr:uid="{00000000-0005-0000-0000-00008A000000}"/>
    <cellStyle name="20% - Accent5 8" xfId="327" xr:uid="{00000000-0005-0000-0000-00008B000000}"/>
    <cellStyle name="20% - Accent5 8 2" xfId="328" xr:uid="{00000000-0005-0000-0000-00008C000000}"/>
    <cellStyle name="20% - Accent6 2" xfId="29" xr:uid="{00000000-0005-0000-0000-00008D000000}"/>
    <cellStyle name="20% - Accent6 3" xfId="30" xr:uid="{00000000-0005-0000-0000-00008E000000}"/>
    <cellStyle name="20% - Accent6 4" xfId="31" xr:uid="{00000000-0005-0000-0000-00008F000000}"/>
    <cellStyle name="20% - Accent6 5" xfId="329" xr:uid="{00000000-0005-0000-0000-000090000000}"/>
    <cellStyle name="20% - Accent6 5 2" xfId="330" xr:uid="{00000000-0005-0000-0000-000091000000}"/>
    <cellStyle name="20% - Accent6 6" xfId="331" xr:uid="{00000000-0005-0000-0000-000092000000}"/>
    <cellStyle name="20% - Accent6 6 2" xfId="332" xr:uid="{00000000-0005-0000-0000-000093000000}"/>
    <cellStyle name="20% - Accent6 7" xfId="333" xr:uid="{00000000-0005-0000-0000-000094000000}"/>
    <cellStyle name="20% - Accent6 7 2" xfId="334" xr:uid="{00000000-0005-0000-0000-000095000000}"/>
    <cellStyle name="20% - Accent6 8" xfId="335" xr:uid="{00000000-0005-0000-0000-000096000000}"/>
    <cellStyle name="20% - Accent6 8 2" xfId="336" xr:uid="{00000000-0005-0000-0000-000097000000}"/>
    <cellStyle name="40% - Accent1 2" xfId="32" xr:uid="{00000000-0005-0000-0000-000098000000}"/>
    <cellStyle name="40% - Accent1 3" xfId="33" xr:uid="{00000000-0005-0000-0000-000099000000}"/>
    <cellStyle name="40% - Accent1 4" xfId="34" xr:uid="{00000000-0005-0000-0000-00009A000000}"/>
    <cellStyle name="40% - Accent1 5" xfId="337" xr:uid="{00000000-0005-0000-0000-00009B000000}"/>
    <cellStyle name="40% - Accent1 5 2" xfId="338" xr:uid="{00000000-0005-0000-0000-00009C000000}"/>
    <cellStyle name="40% - Accent1 6" xfId="339" xr:uid="{00000000-0005-0000-0000-00009D000000}"/>
    <cellStyle name="40% - Accent1 6 2" xfId="340" xr:uid="{00000000-0005-0000-0000-00009E000000}"/>
    <cellStyle name="40% - Accent1 7" xfId="341" xr:uid="{00000000-0005-0000-0000-00009F000000}"/>
    <cellStyle name="40% - Accent1 7 2" xfId="342" xr:uid="{00000000-0005-0000-0000-0000A0000000}"/>
    <cellStyle name="40% - Accent1 8" xfId="343" xr:uid="{00000000-0005-0000-0000-0000A1000000}"/>
    <cellStyle name="40% - Accent1 8 2" xfId="344" xr:uid="{00000000-0005-0000-0000-0000A2000000}"/>
    <cellStyle name="40% - Accent2 2" xfId="35" xr:uid="{00000000-0005-0000-0000-0000A3000000}"/>
    <cellStyle name="40% - Accent2 3" xfId="36" xr:uid="{00000000-0005-0000-0000-0000A4000000}"/>
    <cellStyle name="40% - Accent2 4" xfId="37" xr:uid="{00000000-0005-0000-0000-0000A5000000}"/>
    <cellStyle name="40% - Accent2 5" xfId="345" xr:uid="{00000000-0005-0000-0000-0000A6000000}"/>
    <cellStyle name="40% - Accent2 5 2" xfId="346" xr:uid="{00000000-0005-0000-0000-0000A7000000}"/>
    <cellStyle name="40% - Accent2 6" xfId="347" xr:uid="{00000000-0005-0000-0000-0000A8000000}"/>
    <cellStyle name="40% - Accent2 6 2" xfId="348" xr:uid="{00000000-0005-0000-0000-0000A9000000}"/>
    <cellStyle name="40% - Accent2 7" xfId="349" xr:uid="{00000000-0005-0000-0000-0000AA000000}"/>
    <cellStyle name="40% - Accent2 7 2" xfId="350" xr:uid="{00000000-0005-0000-0000-0000AB000000}"/>
    <cellStyle name="40% - Accent2 8" xfId="351" xr:uid="{00000000-0005-0000-0000-0000AC000000}"/>
    <cellStyle name="40% - Accent2 8 2" xfId="352" xr:uid="{00000000-0005-0000-0000-0000AD000000}"/>
    <cellStyle name="40% - Accent3 2" xfId="38" xr:uid="{00000000-0005-0000-0000-0000AE000000}"/>
    <cellStyle name="40% - Accent3 3" xfId="39" xr:uid="{00000000-0005-0000-0000-0000AF000000}"/>
    <cellStyle name="40% - Accent3 4" xfId="40" xr:uid="{00000000-0005-0000-0000-0000B0000000}"/>
    <cellStyle name="40% - Accent3 5" xfId="353" xr:uid="{00000000-0005-0000-0000-0000B1000000}"/>
    <cellStyle name="40% - Accent3 5 2" xfId="354" xr:uid="{00000000-0005-0000-0000-0000B2000000}"/>
    <cellStyle name="40% - Accent3 6" xfId="355" xr:uid="{00000000-0005-0000-0000-0000B3000000}"/>
    <cellStyle name="40% - Accent3 6 2" xfId="356" xr:uid="{00000000-0005-0000-0000-0000B4000000}"/>
    <cellStyle name="40% - Accent3 7" xfId="357" xr:uid="{00000000-0005-0000-0000-0000B5000000}"/>
    <cellStyle name="40% - Accent3 7 2" xfId="358" xr:uid="{00000000-0005-0000-0000-0000B6000000}"/>
    <cellStyle name="40% - Accent3 8" xfId="359" xr:uid="{00000000-0005-0000-0000-0000B7000000}"/>
    <cellStyle name="40% - Accent3 8 2" xfId="360" xr:uid="{00000000-0005-0000-0000-0000B8000000}"/>
    <cellStyle name="40% - Accent6 2" xfId="41" xr:uid="{00000000-0005-0000-0000-0000B9000000}"/>
    <cellStyle name="40% - Accent6 3" xfId="42" xr:uid="{00000000-0005-0000-0000-0000BA000000}"/>
    <cellStyle name="40% - Accent6 4" xfId="43" xr:uid="{00000000-0005-0000-0000-0000BB000000}"/>
    <cellStyle name="40% - Accent6 5" xfId="361" xr:uid="{00000000-0005-0000-0000-0000BC000000}"/>
    <cellStyle name="40% - Accent6 5 2" xfId="362" xr:uid="{00000000-0005-0000-0000-0000BD000000}"/>
    <cellStyle name="40% - Accent6 6" xfId="363" xr:uid="{00000000-0005-0000-0000-0000BE000000}"/>
    <cellStyle name="40% - Accent6 6 2" xfId="364" xr:uid="{00000000-0005-0000-0000-0000BF000000}"/>
    <cellStyle name="40% - Accent6 7" xfId="365" xr:uid="{00000000-0005-0000-0000-0000C0000000}"/>
    <cellStyle name="40% - Accent6 7 2" xfId="366" xr:uid="{00000000-0005-0000-0000-0000C1000000}"/>
    <cellStyle name="40% - Accent6 8" xfId="367" xr:uid="{00000000-0005-0000-0000-0000C2000000}"/>
    <cellStyle name="40% - Accent6 8 2" xfId="368" xr:uid="{00000000-0005-0000-0000-0000C3000000}"/>
    <cellStyle name="60% - Accent1 2" xfId="44" xr:uid="{00000000-0005-0000-0000-0000C4000000}"/>
    <cellStyle name="60% - Accent1 3" xfId="45" xr:uid="{00000000-0005-0000-0000-0000C5000000}"/>
    <cellStyle name="60% - Accent1 4" xfId="46" xr:uid="{00000000-0005-0000-0000-0000C6000000}"/>
    <cellStyle name="60% - Accent1 5" xfId="369" xr:uid="{00000000-0005-0000-0000-0000C7000000}"/>
    <cellStyle name="60% - Accent1 6" xfId="370" xr:uid="{00000000-0005-0000-0000-0000C8000000}"/>
    <cellStyle name="60% - Accent1 7" xfId="371" xr:uid="{00000000-0005-0000-0000-0000C9000000}"/>
    <cellStyle name="60% - Accent1 8" xfId="372" xr:uid="{00000000-0005-0000-0000-0000CA000000}"/>
    <cellStyle name="60% - Accent2 2" xfId="47" xr:uid="{00000000-0005-0000-0000-0000CB000000}"/>
    <cellStyle name="60% - Accent2 3" xfId="48" xr:uid="{00000000-0005-0000-0000-0000CC000000}"/>
    <cellStyle name="60% - Accent2 4" xfId="49" xr:uid="{00000000-0005-0000-0000-0000CD000000}"/>
    <cellStyle name="60% - Accent2 5" xfId="373" xr:uid="{00000000-0005-0000-0000-0000CE000000}"/>
    <cellStyle name="60% - Accent2 6" xfId="374" xr:uid="{00000000-0005-0000-0000-0000CF000000}"/>
    <cellStyle name="60% - Accent2 7" xfId="375" xr:uid="{00000000-0005-0000-0000-0000D0000000}"/>
    <cellStyle name="60% - Accent2 8" xfId="376" xr:uid="{00000000-0005-0000-0000-0000D1000000}"/>
    <cellStyle name="60% - Accent3 2" xfId="50" xr:uid="{00000000-0005-0000-0000-0000D2000000}"/>
    <cellStyle name="60% - Accent3 3" xfId="51" xr:uid="{00000000-0005-0000-0000-0000D3000000}"/>
    <cellStyle name="60% - Accent3 4" xfId="52" xr:uid="{00000000-0005-0000-0000-0000D4000000}"/>
    <cellStyle name="60% - Accent3 5" xfId="377" xr:uid="{00000000-0005-0000-0000-0000D5000000}"/>
    <cellStyle name="60% - Accent3 6" xfId="378" xr:uid="{00000000-0005-0000-0000-0000D6000000}"/>
    <cellStyle name="60% - Accent3 7" xfId="379" xr:uid="{00000000-0005-0000-0000-0000D7000000}"/>
    <cellStyle name="60% - Accent3 8" xfId="380" xr:uid="{00000000-0005-0000-0000-0000D8000000}"/>
    <cellStyle name="60% - Accent4 2" xfId="53" xr:uid="{00000000-0005-0000-0000-0000D9000000}"/>
    <cellStyle name="60% - Accent4 3" xfId="54" xr:uid="{00000000-0005-0000-0000-0000DA000000}"/>
    <cellStyle name="60% - Accent4 4" xfId="55" xr:uid="{00000000-0005-0000-0000-0000DB000000}"/>
    <cellStyle name="60% - Accent4 5" xfId="381" xr:uid="{00000000-0005-0000-0000-0000DC000000}"/>
    <cellStyle name="60% - Accent4 6" xfId="382" xr:uid="{00000000-0005-0000-0000-0000DD000000}"/>
    <cellStyle name="60% - Accent4 7" xfId="383" xr:uid="{00000000-0005-0000-0000-0000DE000000}"/>
    <cellStyle name="60% - Accent4 8" xfId="384" xr:uid="{00000000-0005-0000-0000-0000DF000000}"/>
    <cellStyle name="60% - Accent5 2" xfId="56" xr:uid="{00000000-0005-0000-0000-0000E0000000}"/>
    <cellStyle name="60% - Accent5 3" xfId="57" xr:uid="{00000000-0005-0000-0000-0000E1000000}"/>
    <cellStyle name="60% - Accent5 4" xfId="58" xr:uid="{00000000-0005-0000-0000-0000E2000000}"/>
    <cellStyle name="60% - Accent5 5" xfId="385" xr:uid="{00000000-0005-0000-0000-0000E3000000}"/>
    <cellStyle name="60% - Accent5 6" xfId="386" xr:uid="{00000000-0005-0000-0000-0000E4000000}"/>
    <cellStyle name="60% - Accent5 7" xfId="387" xr:uid="{00000000-0005-0000-0000-0000E5000000}"/>
    <cellStyle name="60% - Accent5 8" xfId="388" xr:uid="{00000000-0005-0000-0000-0000E6000000}"/>
    <cellStyle name="60% - Accent6 2" xfId="59" xr:uid="{00000000-0005-0000-0000-0000E7000000}"/>
    <cellStyle name="60% - Accent6 3" xfId="60" xr:uid="{00000000-0005-0000-0000-0000E8000000}"/>
    <cellStyle name="60% - Accent6 4" xfId="61" xr:uid="{00000000-0005-0000-0000-0000E9000000}"/>
    <cellStyle name="60% - Accent6 5" xfId="389" xr:uid="{00000000-0005-0000-0000-0000EA000000}"/>
    <cellStyle name="60% - Accent6 6" xfId="390" xr:uid="{00000000-0005-0000-0000-0000EB000000}"/>
    <cellStyle name="60% - Accent6 7" xfId="391" xr:uid="{00000000-0005-0000-0000-0000EC000000}"/>
    <cellStyle name="60% - Accent6 8" xfId="392" xr:uid="{00000000-0005-0000-0000-0000ED000000}"/>
    <cellStyle name="Accent1 - 20%" xfId="393" xr:uid="{00000000-0005-0000-0000-0000EE000000}"/>
    <cellStyle name="Accent1 - 40%" xfId="394" xr:uid="{00000000-0005-0000-0000-0000EF000000}"/>
    <cellStyle name="Accent1 - 60%" xfId="395" xr:uid="{00000000-0005-0000-0000-0000F0000000}"/>
    <cellStyle name="Accent1 2" xfId="62" xr:uid="{00000000-0005-0000-0000-0000F1000000}"/>
    <cellStyle name="Accent1 2 2" xfId="396" xr:uid="{00000000-0005-0000-0000-0000F2000000}"/>
    <cellStyle name="Accent1 3" xfId="63" xr:uid="{00000000-0005-0000-0000-0000F3000000}"/>
    <cellStyle name="Accent1 4" xfId="64" xr:uid="{00000000-0005-0000-0000-0000F4000000}"/>
    <cellStyle name="Accent1 5" xfId="397" xr:uid="{00000000-0005-0000-0000-0000F5000000}"/>
    <cellStyle name="Accent1 6" xfId="398" xr:uid="{00000000-0005-0000-0000-0000F6000000}"/>
    <cellStyle name="Accent1 7" xfId="399" xr:uid="{00000000-0005-0000-0000-0000F7000000}"/>
    <cellStyle name="Accent1 8" xfId="400" xr:uid="{00000000-0005-0000-0000-0000F8000000}"/>
    <cellStyle name="Accent1 9" xfId="401" xr:uid="{00000000-0005-0000-0000-0000F9000000}"/>
    <cellStyle name="Accent2 - 20%" xfId="402" xr:uid="{00000000-0005-0000-0000-0000FA000000}"/>
    <cellStyle name="Accent2 - 40%" xfId="403" xr:uid="{00000000-0005-0000-0000-0000FB000000}"/>
    <cellStyle name="Accent2 - 60%" xfId="404" xr:uid="{00000000-0005-0000-0000-0000FC000000}"/>
    <cellStyle name="Accent2 2" xfId="65" xr:uid="{00000000-0005-0000-0000-0000FD000000}"/>
    <cellStyle name="Accent2 2 2" xfId="405" xr:uid="{00000000-0005-0000-0000-0000FE000000}"/>
    <cellStyle name="Accent2 3" xfId="66" xr:uid="{00000000-0005-0000-0000-0000FF000000}"/>
    <cellStyle name="Accent2 4" xfId="67" xr:uid="{00000000-0005-0000-0000-000000010000}"/>
    <cellStyle name="Accent2 5" xfId="406" xr:uid="{00000000-0005-0000-0000-000001010000}"/>
    <cellStyle name="Accent2 6" xfId="407" xr:uid="{00000000-0005-0000-0000-000002010000}"/>
    <cellStyle name="Accent2 7" xfId="408" xr:uid="{00000000-0005-0000-0000-000003010000}"/>
    <cellStyle name="Accent2 8" xfId="409" xr:uid="{00000000-0005-0000-0000-000004010000}"/>
    <cellStyle name="Accent2 9" xfId="410" xr:uid="{00000000-0005-0000-0000-000005010000}"/>
    <cellStyle name="Accent3 - 20%" xfId="411" xr:uid="{00000000-0005-0000-0000-000006010000}"/>
    <cellStyle name="Accent3 - 40%" xfId="412" xr:uid="{00000000-0005-0000-0000-000007010000}"/>
    <cellStyle name="Accent3 - 60%" xfId="413" xr:uid="{00000000-0005-0000-0000-000008010000}"/>
    <cellStyle name="Accent3 2" xfId="68" xr:uid="{00000000-0005-0000-0000-000009010000}"/>
    <cellStyle name="Accent3 2 2" xfId="414" xr:uid="{00000000-0005-0000-0000-00000A010000}"/>
    <cellStyle name="Accent3 3" xfId="69" xr:uid="{00000000-0005-0000-0000-00000B010000}"/>
    <cellStyle name="Accent3 4" xfId="70" xr:uid="{00000000-0005-0000-0000-00000C010000}"/>
    <cellStyle name="Accent3 5" xfId="415" xr:uid="{00000000-0005-0000-0000-00000D010000}"/>
    <cellStyle name="Accent3 6" xfId="416" xr:uid="{00000000-0005-0000-0000-00000E010000}"/>
    <cellStyle name="Accent3 7" xfId="417" xr:uid="{00000000-0005-0000-0000-00000F010000}"/>
    <cellStyle name="Accent3 8" xfId="418" xr:uid="{00000000-0005-0000-0000-000010010000}"/>
    <cellStyle name="Accent3 9" xfId="419" xr:uid="{00000000-0005-0000-0000-000011010000}"/>
    <cellStyle name="Accent4 - 20%" xfId="420" xr:uid="{00000000-0005-0000-0000-000012010000}"/>
    <cellStyle name="Accent4 - 40%" xfId="421" xr:uid="{00000000-0005-0000-0000-000013010000}"/>
    <cellStyle name="Accent4 - 60%" xfId="422" xr:uid="{00000000-0005-0000-0000-000014010000}"/>
    <cellStyle name="Accent4 2" xfId="423" xr:uid="{00000000-0005-0000-0000-000015010000}"/>
    <cellStyle name="Accent4 3" xfId="424" xr:uid="{00000000-0005-0000-0000-000016010000}"/>
    <cellStyle name="Accent5 - 20%" xfId="425" xr:uid="{00000000-0005-0000-0000-000017010000}"/>
    <cellStyle name="Accent5 - 40%" xfId="426" xr:uid="{00000000-0005-0000-0000-000018010000}"/>
    <cellStyle name="Accent5 - 60%" xfId="427" xr:uid="{00000000-0005-0000-0000-000019010000}"/>
    <cellStyle name="Accent5 2" xfId="428" xr:uid="{00000000-0005-0000-0000-00001A010000}"/>
    <cellStyle name="Accent5 3" xfId="429" xr:uid="{00000000-0005-0000-0000-00001B010000}"/>
    <cellStyle name="Accent6 - 20%" xfId="430" xr:uid="{00000000-0005-0000-0000-00001C010000}"/>
    <cellStyle name="Accent6 - 40%" xfId="431" xr:uid="{00000000-0005-0000-0000-00001D010000}"/>
    <cellStyle name="Accent6 - 60%" xfId="432" xr:uid="{00000000-0005-0000-0000-00001E010000}"/>
    <cellStyle name="Accent6 2" xfId="71" xr:uid="{00000000-0005-0000-0000-00001F010000}"/>
    <cellStyle name="Accent6 2 2" xfId="433" xr:uid="{00000000-0005-0000-0000-000020010000}"/>
    <cellStyle name="Accent6 3" xfId="72" xr:uid="{00000000-0005-0000-0000-000021010000}"/>
    <cellStyle name="Accent6 4" xfId="73" xr:uid="{00000000-0005-0000-0000-000022010000}"/>
    <cellStyle name="Accent6 5" xfId="434" xr:uid="{00000000-0005-0000-0000-000023010000}"/>
    <cellStyle name="Accent6 6" xfId="435" xr:uid="{00000000-0005-0000-0000-000024010000}"/>
    <cellStyle name="Accent6 7" xfId="436" xr:uid="{00000000-0005-0000-0000-000025010000}"/>
    <cellStyle name="Accent6 8" xfId="437" xr:uid="{00000000-0005-0000-0000-000026010000}"/>
    <cellStyle name="Accent6 9" xfId="438" xr:uid="{00000000-0005-0000-0000-000027010000}"/>
    <cellStyle name="Bad 2" xfId="74" xr:uid="{00000000-0005-0000-0000-000028010000}"/>
    <cellStyle name="Bad 2 2" xfId="439" xr:uid="{00000000-0005-0000-0000-000029010000}"/>
    <cellStyle name="Bad 3" xfId="75" xr:uid="{00000000-0005-0000-0000-00002A010000}"/>
    <cellStyle name="Bad 4" xfId="76" xr:uid="{00000000-0005-0000-0000-00002B010000}"/>
    <cellStyle name="Bad 5" xfId="440" xr:uid="{00000000-0005-0000-0000-00002C010000}"/>
    <cellStyle name="Bad 6" xfId="441" xr:uid="{00000000-0005-0000-0000-00002D010000}"/>
    <cellStyle name="Bad 7" xfId="442" xr:uid="{00000000-0005-0000-0000-00002E010000}"/>
    <cellStyle name="Bad 8" xfId="443" xr:uid="{00000000-0005-0000-0000-00002F010000}"/>
    <cellStyle name="Bad 9" xfId="444" xr:uid="{00000000-0005-0000-0000-000030010000}"/>
    <cellStyle name="Calculation 2" xfId="77" xr:uid="{00000000-0005-0000-0000-000031010000}"/>
    <cellStyle name="Calculation 2 2" xfId="445" xr:uid="{00000000-0005-0000-0000-000032010000}"/>
    <cellStyle name="Calculation 2 2 2" xfId="446" xr:uid="{00000000-0005-0000-0000-000033010000}"/>
    <cellStyle name="Calculation 2 3" xfId="447" xr:uid="{00000000-0005-0000-0000-000034010000}"/>
    <cellStyle name="Calculation 3" xfId="78" xr:uid="{00000000-0005-0000-0000-000035010000}"/>
    <cellStyle name="Calculation 3 2" xfId="448" xr:uid="{00000000-0005-0000-0000-000036010000}"/>
    <cellStyle name="Calculation 4" xfId="79" xr:uid="{00000000-0005-0000-0000-000037010000}"/>
    <cellStyle name="Calculation 4 2" xfId="449" xr:uid="{00000000-0005-0000-0000-000038010000}"/>
    <cellStyle name="Calculation 5" xfId="450" xr:uid="{00000000-0005-0000-0000-000039010000}"/>
    <cellStyle name="Calculation 5 2" xfId="451" xr:uid="{00000000-0005-0000-0000-00003A010000}"/>
    <cellStyle name="Calculation 6" xfId="452" xr:uid="{00000000-0005-0000-0000-00003B010000}"/>
    <cellStyle name="Calculation 7" xfId="453" xr:uid="{00000000-0005-0000-0000-00003C010000}"/>
    <cellStyle name="Calculation 8" xfId="454" xr:uid="{00000000-0005-0000-0000-00003D010000}"/>
    <cellStyle name="Calculation 9" xfId="455" xr:uid="{00000000-0005-0000-0000-00003E010000}"/>
    <cellStyle name="category" xfId="80" xr:uid="{00000000-0005-0000-0000-00003F010000}"/>
    <cellStyle name="Check Cell 2" xfId="81" xr:uid="{00000000-0005-0000-0000-000040010000}"/>
    <cellStyle name="Check Cell 2 2" xfId="456" xr:uid="{00000000-0005-0000-0000-000041010000}"/>
    <cellStyle name="Check Cell 3" xfId="82" xr:uid="{00000000-0005-0000-0000-000042010000}"/>
    <cellStyle name="Check Cell 4" xfId="83" xr:uid="{00000000-0005-0000-0000-000043010000}"/>
    <cellStyle name="Check Cell 5" xfId="457" xr:uid="{00000000-0005-0000-0000-000044010000}"/>
    <cellStyle name="Check Cell 6" xfId="458" xr:uid="{00000000-0005-0000-0000-000045010000}"/>
    <cellStyle name="Check Cell 7" xfId="459" xr:uid="{00000000-0005-0000-0000-000046010000}"/>
    <cellStyle name="Check Cell 8" xfId="460" xr:uid="{00000000-0005-0000-0000-000047010000}"/>
    <cellStyle name="Check Cell 9" xfId="461" xr:uid="{00000000-0005-0000-0000-000048010000}"/>
    <cellStyle name="Currency 2" xfId="84" xr:uid="{00000000-0005-0000-0000-000049010000}"/>
    <cellStyle name="Currency 2 10" xfId="462" xr:uid="{00000000-0005-0000-0000-00004A010000}"/>
    <cellStyle name="Currency 2 11" xfId="463" xr:uid="{00000000-0005-0000-0000-00004B010000}"/>
    <cellStyle name="Currency 2 12" xfId="464" xr:uid="{00000000-0005-0000-0000-00004C010000}"/>
    <cellStyle name="Currency 2 13" xfId="465" xr:uid="{00000000-0005-0000-0000-00004D010000}"/>
    <cellStyle name="Currency 2 14" xfId="466" xr:uid="{00000000-0005-0000-0000-00004E010000}"/>
    <cellStyle name="Currency 2 15" xfId="467" xr:uid="{00000000-0005-0000-0000-00004F010000}"/>
    <cellStyle name="Currency 2 16" xfId="468" xr:uid="{00000000-0005-0000-0000-000050010000}"/>
    <cellStyle name="Currency 2 17" xfId="469" xr:uid="{00000000-0005-0000-0000-000051010000}"/>
    <cellStyle name="Currency 2 2" xfId="470" xr:uid="{00000000-0005-0000-0000-000052010000}"/>
    <cellStyle name="Currency 2 3" xfId="471" xr:uid="{00000000-0005-0000-0000-000053010000}"/>
    <cellStyle name="Currency 2 4" xfId="472" xr:uid="{00000000-0005-0000-0000-000054010000}"/>
    <cellStyle name="Currency 2 5" xfId="473" xr:uid="{00000000-0005-0000-0000-000055010000}"/>
    <cellStyle name="Currency 2 6" xfId="474" xr:uid="{00000000-0005-0000-0000-000056010000}"/>
    <cellStyle name="Currency 2 7" xfId="475" xr:uid="{00000000-0005-0000-0000-000057010000}"/>
    <cellStyle name="Currency 2 8" xfId="476" xr:uid="{00000000-0005-0000-0000-000058010000}"/>
    <cellStyle name="Currency 2 9" xfId="477" xr:uid="{00000000-0005-0000-0000-000059010000}"/>
    <cellStyle name="Emphasis 1" xfId="478" xr:uid="{00000000-0005-0000-0000-00005A010000}"/>
    <cellStyle name="Emphasis 2" xfId="479" xr:uid="{00000000-0005-0000-0000-00005B010000}"/>
    <cellStyle name="Emphasis 3" xfId="480" xr:uid="{00000000-0005-0000-0000-00005C010000}"/>
    <cellStyle name="Explanatory Text 2" xfId="85" xr:uid="{00000000-0005-0000-0000-00005D010000}"/>
    <cellStyle name="Explanatory Text 3" xfId="86" xr:uid="{00000000-0005-0000-0000-00005E010000}"/>
    <cellStyle name="Explanatory Text 4" xfId="87" xr:uid="{00000000-0005-0000-0000-00005F010000}"/>
    <cellStyle name="Explanatory Text 5" xfId="481" xr:uid="{00000000-0005-0000-0000-000060010000}"/>
    <cellStyle name="Explanatory Text 6" xfId="482" xr:uid="{00000000-0005-0000-0000-000061010000}"/>
    <cellStyle name="Explanatory Text 7" xfId="483" xr:uid="{00000000-0005-0000-0000-000062010000}"/>
    <cellStyle name="Explanatory Text 8" xfId="484" xr:uid="{00000000-0005-0000-0000-000063010000}"/>
    <cellStyle name="Good 2" xfId="88" xr:uid="{00000000-0005-0000-0000-000064010000}"/>
    <cellStyle name="Good 2 2" xfId="485" xr:uid="{00000000-0005-0000-0000-000065010000}"/>
    <cellStyle name="Good 3" xfId="89" xr:uid="{00000000-0005-0000-0000-000066010000}"/>
    <cellStyle name="Good 4" xfId="90" xr:uid="{00000000-0005-0000-0000-000067010000}"/>
    <cellStyle name="Good 5" xfId="486" xr:uid="{00000000-0005-0000-0000-000068010000}"/>
    <cellStyle name="Good 6" xfId="487" xr:uid="{00000000-0005-0000-0000-000069010000}"/>
    <cellStyle name="Good 7" xfId="488" xr:uid="{00000000-0005-0000-0000-00006A010000}"/>
    <cellStyle name="Good 8" xfId="489" xr:uid="{00000000-0005-0000-0000-00006B010000}"/>
    <cellStyle name="Good 9" xfId="490" xr:uid="{00000000-0005-0000-0000-00006C010000}"/>
    <cellStyle name="Grey" xfId="91" xr:uid="{00000000-0005-0000-0000-00006D010000}"/>
    <cellStyle name="Grey 10" xfId="491" xr:uid="{00000000-0005-0000-0000-00006E010000}"/>
    <cellStyle name="Grey 11" xfId="492" xr:uid="{00000000-0005-0000-0000-00006F010000}"/>
    <cellStyle name="Grey 12" xfId="493" xr:uid="{00000000-0005-0000-0000-000070010000}"/>
    <cellStyle name="Grey 13" xfId="494" xr:uid="{00000000-0005-0000-0000-000071010000}"/>
    <cellStyle name="Grey 14" xfId="495" xr:uid="{00000000-0005-0000-0000-000072010000}"/>
    <cellStyle name="Grey 15" xfId="496" xr:uid="{00000000-0005-0000-0000-000073010000}"/>
    <cellStyle name="Grey 16" xfId="497" xr:uid="{00000000-0005-0000-0000-000074010000}"/>
    <cellStyle name="Grey 17" xfId="498" xr:uid="{00000000-0005-0000-0000-000075010000}"/>
    <cellStyle name="Grey 18" xfId="499" xr:uid="{00000000-0005-0000-0000-000076010000}"/>
    <cellStyle name="Grey 19" xfId="500" xr:uid="{00000000-0005-0000-0000-000077010000}"/>
    <cellStyle name="Grey 2" xfId="92" xr:uid="{00000000-0005-0000-0000-000078010000}"/>
    <cellStyle name="Grey 20" xfId="501" xr:uid="{00000000-0005-0000-0000-000079010000}"/>
    <cellStyle name="Grey 21" xfId="502" xr:uid="{00000000-0005-0000-0000-00007A010000}"/>
    <cellStyle name="Grey 22" xfId="503" xr:uid="{00000000-0005-0000-0000-00007B010000}"/>
    <cellStyle name="Grey 23" xfId="504" xr:uid="{00000000-0005-0000-0000-00007C010000}"/>
    <cellStyle name="Grey 24" xfId="505" xr:uid="{00000000-0005-0000-0000-00007D010000}"/>
    <cellStyle name="Grey 25" xfId="506" xr:uid="{00000000-0005-0000-0000-00007E010000}"/>
    <cellStyle name="Grey 26" xfId="507" xr:uid="{00000000-0005-0000-0000-00007F010000}"/>
    <cellStyle name="Grey 27" xfId="508" xr:uid="{00000000-0005-0000-0000-000080010000}"/>
    <cellStyle name="Grey 28" xfId="509" xr:uid="{00000000-0005-0000-0000-000081010000}"/>
    <cellStyle name="Grey 29" xfId="510" xr:uid="{00000000-0005-0000-0000-000082010000}"/>
    <cellStyle name="Grey 3" xfId="93" xr:uid="{00000000-0005-0000-0000-000083010000}"/>
    <cellStyle name="Grey 30" xfId="511" xr:uid="{00000000-0005-0000-0000-000084010000}"/>
    <cellStyle name="Grey 4" xfId="94" xr:uid="{00000000-0005-0000-0000-000085010000}"/>
    <cellStyle name="Grey 5" xfId="95" xr:uid="{00000000-0005-0000-0000-000086010000}"/>
    <cellStyle name="Grey 6" xfId="96" xr:uid="{00000000-0005-0000-0000-000087010000}"/>
    <cellStyle name="Grey 6 10" xfId="512" xr:uid="{00000000-0005-0000-0000-000088010000}"/>
    <cellStyle name="Grey 6 11" xfId="513" xr:uid="{00000000-0005-0000-0000-000089010000}"/>
    <cellStyle name="Grey 6 12" xfId="514" xr:uid="{00000000-0005-0000-0000-00008A010000}"/>
    <cellStyle name="Grey 6 13" xfId="515" xr:uid="{00000000-0005-0000-0000-00008B010000}"/>
    <cellStyle name="Grey 6 14" xfId="516" xr:uid="{00000000-0005-0000-0000-00008C010000}"/>
    <cellStyle name="Grey 6 15" xfId="517" xr:uid="{00000000-0005-0000-0000-00008D010000}"/>
    <cellStyle name="Grey 6 16" xfId="518" xr:uid="{00000000-0005-0000-0000-00008E010000}"/>
    <cellStyle name="Grey 6 17" xfId="519" xr:uid="{00000000-0005-0000-0000-00008F010000}"/>
    <cellStyle name="Grey 6 2" xfId="520" xr:uid="{00000000-0005-0000-0000-000090010000}"/>
    <cellStyle name="Grey 6 3" xfId="521" xr:uid="{00000000-0005-0000-0000-000091010000}"/>
    <cellStyle name="Grey 6 4" xfId="522" xr:uid="{00000000-0005-0000-0000-000092010000}"/>
    <cellStyle name="Grey 6 5" xfId="523" xr:uid="{00000000-0005-0000-0000-000093010000}"/>
    <cellStyle name="Grey 6 6" xfId="524" xr:uid="{00000000-0005-0000-0000-000094010000}"/>
    <cellStyle name="Grey 6 7" xfId="525" xr:uid="{00000000-0005-0000-0000-000095010000}"/>
    <cellStyle name="Grey 6 8" xfId="526" xr:uid="{00000000-0005-0000-0000-000096010000}"/>
    <cellStyle name="Grey 6 9" xfId="527" xr:uid="{00000000-0005-0000-0000-000097010000}"/>
    <cellStyle name="Grey 7" xfId="528" xr:uid="{00000000-0005-0000-0000-000098010000}"/>
    <cellStyle name="Grey 8" xfId="529" xr:uid="{00000000-0005-0000-0000-000099010000}"/>
    <cellStyle name="Grey 9" xfId="530" xr:uid="{00000000-0005-0000-0000-00009A010000}"/>
    <cellStyle name="Grey_New VM - Sizing (Ex1b)" xfId="97" xr:uid="{00000000-0005-0000-0000-00009B010000}"/>
    <cellStyle name="HEADER" xfId="98" xr:uid="{00000000-0005-0000-0000-00009C010000}"/>
    <cellStyle name="Heading 1 2" xfId="99" xr:uid="{00000000-0005-0000-0000-00009D010000}"/>
    <cellStyle name="Heading 1 2 2" xfId="531" xr:uid="{00000000-0005-0000-0000-00009E010000}"/>
    <cellStyle name="Heading 1 3" xfId="100" xr:uid="{00000000-0005-0000-0000-00009F010000}"/>
    <cellStyle name="Heading 1 4" xfId="101" xr:uid="{00000000-0005-0000-0000-0000A0010000}"/>
    <cellStyle name="Heading 1 5" xfId="532" xr:uid="{00000000-0005-0000-0000-0000A1010000}"/>
    <cellStyle name="Heading 1 6" xfId="533" xr:uid="{00000000-0005-0000-0000-0000A2010000}"/>
    <cellStyle name="Heading 1 7" xfId="534" xr:uid="{00000000-0005-0000-0000-0000A3010000}"/>
    <cellStyle name="Heading 1 8" xfId="535" xr:uid="{00000000-0005-0000-0000-0000A4010000}"/>
    <cellStyle name="Heading 1 9" xfId="536" xr:uid="{00000000-0005-0000-0000-0000A5010000}"/>
    <cellStyle name="Heading 2 2" xfId="102" xr:uid="{00000000-0005-0000-0000-0000A6010000}"/>
    <cellStyle name="Heading 2 2 2" xfId="537" xr:uid="{00000000-0005-0000-0000-0000A7010000}"/>
    <cellStyle name="Heading 2 3" xfId="103" xr:uid="{00000000-0005-0000-0000-0000A8010000}"/>
    <cellStyle name="Heading 2 4" xfId="104" xr:uid="{00000000-0005-0000-0000-0000A9010000}"/>
    <cellStyle name="Heading 2 5" xfId="538" xr:uid="{00000000-0005-0000-0000-0000AA010000}"/>
    <cellStyle name="Heading 2 6" xfId="539" xr:uid="{00000000-0005-0000-0000-0000AB010000}"/>
    <cellStyle name="Heading 2 7" xfId="540" xr:uid="{00000000-0005-0000-0000-0000AC010000}"/>
    <cellStyle name="Heading 2 8" xfId="541" xr:uid="{00000000-0005-0000-0000-0000AD010000}"/>
    <cellStyle name="Heading 2 9" xfId="542" xr:uid="{00000000-0005-0000-0000-0000AE010000}"/>
    <cellStyle name="Heading 3 2" xfId="105" xr:uid="{00000000-0005-0000-0000-0000AF010000}"/>
    <cellStyle name="Heading 3 2 2" xfId="543" xr:uid="{00000000-0005-0000-0000-0000B0010000}"/>
    <cellStyle name="Heading 3 3" xfId="106" xr:uid="{00000000-0005-0000-0000-0000B1010000}"/>
    <cellStyle name="Heading 3 4" xfId="107" xr:uid="{00000000-0005-0000-0000-0000B2010000}"/>
    <cellStyle name="Heading 3 5" xfId="544" xr:uid="{00000000-0005-0000-0000-0000B3010000}"/>
    <cellStyle name="Heading 3 6" xfId="545" xr:uid="{00000000-0005-0000-0000-0000B4010000}"/>
    <cellStyle name="Heading 3 7" xfId="546" xr:uid="{00000000-0005-0000-0000-0000B5010000}"/>
    <cellStyle name="Heading 3 8" xfId="547" xr:uid="{00000000-0005-0000-0000-0000B6010000}"/>
    <cellStyle name="Heading 3 9" xfId="548" xr:uid="{00000000-0005-0000-0000-0000B7010000}"/>
    <cellStyle name="Heading 4 2" xfId="108" xr:uid="{00000000-0005-0000-0000-0000B8010000}"/>
    <cellStyle name="Heading 4 2 2" xfId="549" xr:uid="{00000000-0005-0000-0000-0000B9010000}"/>
    <cellStyle name="Heading 4 3" xfId="109" xr:uid="{00000000-0005-0000-0000-0000BA010000}"/>
    <cellStyle name="Heading 4 4" xfId="110" xr:uid="{00000000-0005-0000-0000-0000BB010000}"/>
    <cellStyle name="Heading 4 5" xfId="550" xr:uid="{00000000-0005-0000-0000-0000BC010000}"/>
    <cellStyle name="Heading 4 6" xfId="551" xr:uid="{00000000-0005-0000-0000-0000BD010000}"/>
    <cellStyle name="Heading 4 7" xfId="552" xr:uid="{00000000-0005-0000-0000-0000BE010000}"/>
    <cellStyle name="Heading 4 8" xfId="553" xr:uid="{00000000-0005-0000-0000-0000BF010000}"/>
    <cellStyle name="Heading 4 9" xfId="554" xr:uid="{00000000-0005-0000-0000-0000C0010000}"/>
    <cellStyle name="Hyperlink 2" xfId="111" xr:uid="{00000000-0005-0000-0000-0000C1010000}"/>
    <cellStyle name="Hyperlink 3" xfId="112" xr:uid="{00000000-0005-0000-0000-0000C2010000}"/>
    <cellStyle name="Hyperlink 3 2" xfId="555" xr:uid="{00000000-0005-0000-0000-0000C3010000}"/>
    <cellStyle name="Hyperlink 4 2" xfId="556" xr:uid="{00000000-0005-0000-0000-0000C4010000}"/>
    <cellStyle name="Input [yellow]" xfId="113" xr:uid="{00000000-0005-0000-0000-0000C5010000}"/>
    <cellStyle name="Input [yellow] 10" xfId="557" xr:uid="{00000000-0005-0000-0000-0000C6010000}"/>
    <cellStyle name="Input [yellow] 11" xfId="558" xr:uid="{00000000-0005-0000-0000-0000C7010000}"/>
    <cellStyle name="Input [yellow] 12" xfId="559" xr:uid="{00000000-0005-0000-0000-0000C8010000}"/>
    <cellStyle name="Input [yellow] 13" xfId="560" xr:uid="{00000000-0005-0000-0000-0000C9010000}"/>
    <cellStyle name="Input [yellow] 14" xfId="561" xr:uid="{00000000-0005-0000-0000-0000CA010000}"/>
    <cellStyle name="Input [yellow] 15" xfId="562" xr:uid="{00000000-0005-0000-0000-0000CB010000}"/>
    <cellStyle name="Input [yellow] 16" xfId="563" xr:uid="{00000000-0005-0000-0000-0000CC010000}"/>
    <cellStyle name="Input [yellow] 17" xfId="564" xr:uid="{00000000-0005-0000-0000-0000CD010000}"/>
    <cellStyle name="Input [yellow] 18" xfId="565" xr:uid="{00000000-0005-0000-0000-0000CE010000}"/>
    <cellStyle name="Input [yellow] 19" xfId="566" xr:uid="{00000000-0005-0000-0000-0000CF010000}"/>
    <cellStyle name="Input [yellow] 2" xfId="114" xr:uid="{00000000-0005-0000-0000-0000D0010000}"/>
    <cellStyle name="Input [yellow] 20" xfId="567" xr:uid="{00000000-0005-0000-0000-0000D1010000}"/>
    <cellStyle name="Input [yellow] 21" xfId="568" xr:uid="{00000000-0005-0000-0000-0000D2010000}"/>
    <cellStyle name="Input [yellow] 22" xfId="569" xr:uid="{00000000-0005-0000-0000-0000D3010000}"/>
    <cellStyle name="Input [yellow] 23" xfId="570" xr:uid="{00000000-0005-0000-0000-0000D4010000}"/>
    <cellStyle name="Input [yellow] 24" xfId="571" xr:uid="{00000000-0005-0000-0000-0000D5010000}"/>
    <cellStyle name="Input [yellow] 25" xfId="572" xr:uid="{00000000-0005-0000-0000-0000D6010000}"/>
    <cellStyle name="Input [yellow] 26" xfId="573" xr:uid="{00000000-0005-0000-0000-0000D7010000}"/>
    <cellStyle name="Input [yellow] 27" xfId="574" xr:uid="{00000000-0005-0000-0000-0000D8010000}"/>
    <cellStyle name="Input [yellow] 28" xfId="575" xr:uid="{00000000-0005-0000-0000-0000D9010000}"/>
    <cellStyle name="Input [yellow] 29" xfId="576" xr:uid="{00000000-0005-0000-0000-0000DA010000}"/>
    <cellStyle name="Input [yellow] 3" xfId="115" xr:uid="{00000000-0005-0000-0000-0000DB010000}"/>
    <cellStyle name="Input [yellow] 30" xfId="577" xr:uid="{00000000-0005-0000-0000-0000DC010000}"/>
    <cellStyle name="Input [yellow] 4" xfId="116" xr:uid="{00000000-0005-0000-0000-0000DD010000}"/>
    <cellStyle name="Input [yellow] 5" xfId="117" xr:uid="{00000000-0005-0000-0000-0000DE010000}"/>
    <cellStyle name="Input [yellow] 6" xfId="118" xr:uid="{00000000-0005-0000-0000-0000DF010000}"/>
    <cellStyle name="Input [yellow] 6 10" xfId="578" xr:uid="{00000000-0005-0000-0000-0000E0010000}"/>
    <cellStyle name="Input [yellow] 6 11" xfId="579" xr:uid="{00000000-0005-0000-0000-0000E1010000}"/>
    <cellStyle name="Input [yellow] 6 12" xfId="580" xr:uid="{00000000-0005-0000-0000-0000E2010000}"/>
    <cellStyle name="Input [yellow] 6 13" xfId="581" xr:uid="{00000000-0005-0000-0000-0000E3010000}"/>
    <cellStyle name="Input [yellow] 6 14" xfId="582" xr:uid="{00000000-0005-0000-0000-0000E4010000}"/>
    <cellStyle name="Input [yellow] 6 15" xfId="583" xr:uid="{00000000-0005-0000-0000-0000E5010000}"/>
    <cellStyle name="Input [yellow] 6 16" xfId="584" xr:uid="{00000000-0005-0000-0000-0000E6010000}"/>
    <cellStyle name="Input [yellow] 6 17" xfId="585" xr:uid="{00000000-0005-0000-0000-0000E7010000}"/>
    <cellStyle name="Input [yellow] 6 2" xfId="586" xr:uid="{00000000-0005-0000-0000-0000E8010000}"/>
    <cellStyle name="Input [yellow] 6 3" xfId="587" xr:uid="{00000000-0005-0000-0000-0000E9010000}"/>
    <cellStyle name="Input [yellow] 6 4" xfId="588" xr:uid="{00000000-0005-0000-0000-0000EA010000}"/>
    <cellStyle name="Input [yellow] 6 5" xfId="589" xr:uid="{00000000-0005-0000-0000-0000EB010000}"/>
    <cellStyle name="Input [yellow] 6 6" xfId="590" xr:uid="{00000000-0005-0000-0000-0000EC010000}"/>
    <cellStyle name="Input [yellow] 6 7" xfId="591" xr:uid="{00000000-0005-0000-0000-0000ED010000}"/>
    <cellStyle name="Input [yellow] 6 8" xfId="592" xr:uid="{00000000-0005-0000-0000-0000EE010000}"/>
    <cellStyle name="Input [yellow] 6 9" xfId="593" xr:uid="{00000000-0005-0000-0000-0000EF010000}"/>
    <cellStyle name="Input [yellow] 7" xfId="594" xr:uid="{00000000-0005-0000-0000-0000F0010000}"/>
    <cellStyle name="Input [yellow] 8" xfId="595" xr:uid="{00000000-0005-0000-0000-0000F1010000}"/>
    <cellStyle name="Input [yellow] 9" xfId="596" xr:uid="{00000000-0005-0000-0000-0000F2010000}"/>
    <cellStyle name="Input [yellow]_New VM - Sizing (Ex1b)" xfId="119" xr:uid="{00000000-0005-0000-0000-0000F3010000}"/>
    <cellStyle name="Input 2" xfId="120" xr:uid="{00000000-0005-0000-0000-0000F4010000}"/>
    <cellStyle name="Input 2 2" xfId="597" xr:uid="{00000000-0005-0000-0000-0000F5010000}"/>
    <cellStyle name="Input 2 2 2" xfId="598" xr:uid="{00000000-0005-0000-0000-0000F6010000}"/>
    <cellStyle name="Input 2 3" xfId="599" xr:uid="{00000000-0005-0000-0000-0000F7010000}"/>
    <cellStyle name="Input 3" xfId="121" xr:uid="{00000000-0005-0000-0000-0000F8010000}"/>
    <cellStyle name="Input 3 2" xfId="600" xr:uid="{00000000-0005-0000-0000-0000F9010000}"/>
    <cellStyle name="Input 4" xfId="122" xr:uid="{00000000-0005-0000-0000-0000FA010000}"/>
    <cellStyle name="Input 4 2" xfId="601" xr:uid="{00000000-0005-0000-0000-0000FB010000}"/>
    <cellStyle name="Input 5" xfId="602" xr:uid="{00000000-0005-0000-0000-0000FC010000}"/>
    <cellStyle name="Input 5 2" xfId="603" xr:uid="{00000000-0005-0000-0000-0000FD010000}"/>
    <cellStyle name="Input 6" xfId="604" xr:uid="{00000000-0005-0000-0000-0000FE010000}"/>
    <cellStyle name="Input 7" xfId="605" xr:uid="{00000000-0005-0000-0000-0000FF010000}"/>
    <cellStyle name="Input 8" xfId="606" xr:uid="{00000000-0005-0000-0000-000000020000}"/>
    <cellStyle name="Input 9" xfId="607" xr:uid="{00000000-0005-0000-0000-000001020000}"/>
    <cellStyle name="Linked Cell 2" xfId="123" xr:uid="{00000000-0005-0000-0000-000002020000}"/>
    <cellStyle name="Linked Cell 2 2" xfId="608" xr:uid="{00000000-0005-0000-0000-000003020000}"/>
    <cellStyle name="Linked Cell 3" xfId="124" xr:uid="{00000000-0005-0000-0000-000004020000}"/>
    <cellStyle name="Linked Cell 4" xfId="125" xr:uid="{00000000-0005-0000-0000-000005020000}"/>
    <cellStyle name="Linked Cell 5" xfId="609" xr:uid="{00000000-0005-0000-0000-000006020000}"/>
    <cellStyle name="Linked Cell 6" xfId="610" xr:uid="{00000000-0005-0000-0000-000007020000}"/>
    <cellStyle name="Linked Cell 7" xfId="611" xr:uid="{00000000-0005-0000-0000-000008020000}"/>
    <cellStyle name="Linked Cell 8" xfId="612" xr:uid="{00000000-0005-0000-0000-000009020000}"/>
    <cellStyle name="Linked Cell 9" xfId="613" xr:uid="{00000000-0005-0000-0000-00000A020000}"/>
    <cellStyle name="Main_Heading" xfId="126" xr:uid="{00000000-0005-0000-0000-00000B020000}"/>
    <cellStyle name="Millares [0]_pldt" xfId="127" xr:uid="{00000000-0005-0000-0000-00000C020000}"/>
    <cellStyle name="Millares_pldt" xfId="128" xr:uid="{00000000-0005-0000-0000-00000D020000}"/>
    <cellStyle name="Milliers [0]_EDYAN" xfId="129" xr:uid="{00000000-0005-0000-0000-00000E020000}"/>
    <cellStyle name="Milliers_EDYAN" xfId="130" xr:uid="{00000000-0005-0000-0000-00000F020000}"/>
    <cellStyle name="Model" xfId="131" xr:uid="{00000000-0005-0000-0000-000010020000}"/>
    <cellStyle name="Moneda [0]_pldt" xfId="132" xr:uid="{00000000-0005-0000-0000-000011020000}"/>
    <cellStyle name="Moneda_pldt" xfId="133" xr:uid="{00000000-0005-0000-0000-000012020000}"/>
    <cellStyle name="Monétaire [0]_EDYAN" xfId="134" xr:uid="{00000000-0005-0000-0000-000013020000}"/>
    <cellStyle name="Monétaire_EDYAN" xfId="135" xr:uid="{00000000-0005-0000-0000-000014020000}"/>
    <cellStyle name="Neutral 2" xfId="136" xr:uid="{00000000-0005-0000-0000-000015020000}"/>
    <cellStyle name="Neutral 2 2" xfId="614" xr:uid="{00000000-0005-0000-0000-000016020000}"/>
    <cellStyle name="Neutral 3" xfId="137" xr:uid="{00000000-0005-0000-0000-000017020000}"/>
    <cellStyle name="Neutral 4" xfId="138" xr:uid="{00000000-0005-0000-0000-000018020000}"/>
    <cellStyle name="Neutral 5" xfId="615" xr:uid="{00000000-0005-0000-0000-000019020000}"/>
    <cellStyle name="Neutral 6" xfId="616" xr:uid="{00000000-0005-0000-0000-00001A020000}"/>
    <cellStyle name="Neutral 7" xfId="617" xr:uid="{00000000-0005-0000-0000-00001B020000}"/>
    <cellStyle name="Neutral 8" xfId="618" xr:uid="{00000000-0005-0000-0000-00001C020000}"/>
    <cellStyle name="Neutral 9" xfId="619" xr:uid="{00000000-0005-0000-0000-00001D020000}"/>
    <cellStyle name="Norm੎੎" xfId="139" xr:uid="{00000000-0005-0000-0000-00001E020000}"/>
    <cellStyle name="Norm੎੎ 10" xfId="620" xr:uid="{00000000-0005-0000-0000-00001F020000}"/>
    <cellStyle name="Norm੎੎ 11" xfId="621" xr:uid="{00000000-0005-0000-0000-000020020000}"/>
    <cellStyle name="Norm੎੎ 12" xfId="622" xr:uid="{00000000-0005-0000-0000-000021020000}"/>
    <cellStyle name="Norm੎੎ 13" xfId="623" xr:uid="{00000000-0005-0000-0000-000022020000}"/>
    <cellStyle name="Norm੎੎ 14" xfId="624" xr:uid="{00000000-0005-0000-0000-000023020000}"/>
    <cellStyle name="Norm੎੎ 15" xfId="625" xr:uid="{00000000-0005-0000-0000-000024020000}"/>
    <cellStyle name="Norm੎੎ 16" xfId="626" xr:uid="{00000000-0005-0000-0000-000025020000}"/>
    <cellStyle name="Norm੎੎ 17" xfId="627" xr:uid="{00000000-0005-0000-0000-000026020000}"/>
    <cellStyle name="Norm੎੎ 2" xfId="628" xr:uid="{00000000-0005-0000-0000-000027020000}"/>
    <cellStyle name="Norm੎੎ 2 2" xfId="629" xr:uid="{00000000-0005-0000-0000-000028020000}"/>
    <cellStyle name="Norm੎੎ 3" xfId="630" xr:uid="{00000000-0005-0000-0000-000029020000}"/>
    <cellStyle name="Norm੎੎ 3 2" xfId="631" xr:uid="{00000000-0005-0000-0000-00002A020000}"/>
    <cellStyle name="Norm੎੎ 3 3" xfId="632" xr:uid="{00000000-0005-0000-0000-00002B020000}"/>
    <cellStyle name="Norm੎੎ 4" xfId="633" xr:uid="{00000000-0005-0000-0000-00002C020000}"/>
    <cellStyle name="Norm੎੎ 5" xfId="634" xr:uid="{00000000-0005-0000-0000-00002D020000}"/>
    <cellStyle name="Norm੎੎ 6" xfId="635" xr:uid="{00000000-0005-0000-0000-00002E020000}"/>
    <cellStyle name="Norm੎੎ 7" xfId="636" xr:uid="{00000000-0005-0000-0000-00002F020000}"/>
    <cellStyle name="Norm੎੎ 8" xfId="637" xr:uid="{00000000-0005-0000-0000-000030020000}"/>
    <cellStyle name="Norm੎੎ 9" xfId="638" xr:uid="{00000000-0005-0000-0000-000031020000}"/>
    <cellStyle name="Normal" xfId="0" builtinId="0"/>
    <cellStyle name="Normal - Style1" xfId="140" xr:uid="{00000000-0005-0000-0000-000033020000}"/>
    <cellStyle name="Normal 10" xfId="216" xr:uid="{00000000-0005-0000-0000-000034020000}"/>
    <cellStyle name="Normal 10 10" xfId="639" xr:uid="{00000000-0005-0000-0000-000035020000}"/>
    <cellStyle name="Normal 10 10 2" xfId="640" xr:uid="{00000000-0005-0000-0000-000036020000}"/>
    <cellStyle name="Normal 10 11" xfId="641" xr:uid="{00000000-0005-0000-0000-000037020000}"/>
    <cellStyle name="Normal 10 11 2" xfId="642" xr:uid="{00000000-0005-0000-0000-000038020000}"/>
    <cellStyle name="Normal 10 12" xfId="643" xr:uid="{00000000-0005-0000-0000-000039020000}"/>
    <cellStyle name="Normal 10 12 2" xfId="644" xr:uid="{00000000-0005-0000-0000-00003A020000}"/>
    <cellStyle name="Normal 10 13" xfId="645" xr:uid="{00000000-0005-0000-0000-00003B020000}"/>
    <cellStyle name="Normal 10 2" xfId="646" xr:uid="{00000000-0005-0000-0000-00003C020000}"/>
    <cellStyle name="Normal 10 2 2" xfId="647" xr:uid="{00000000-0005-0000-0000-00003D020000}"/>
    <cellStyle name="Normal 10 2 2 2" xfId="648" xr:uid="{00000000-0005-0000-0000-00003E020000}"/>
    <cellStyle name="Normal 10 2 3" xfId="649" xr:uid="{00000000-0005-0000-0000-00003F020000}"/>
    <cellStyle name="Normal 10 2 3 2" xfId="650" xr:uid="{00000000-0005-0000-0000-000040020000}"/>
    <cellStyle name="Normal 10 2 4" xfId="651" xr:uid="{00000000-0005-0000-0000-000041020000}"/>
    <cellStyle name="Normal 10 2 4 2" xfId="652" xr:uid="{00000000-0005-0000-0000-000042020000}"/>
    <cellStyle name="Normal 10 2 5" xfId="653" xr:uid="{00000000-0005-0000-0000-000043020000}"/>
    <cellStyle name="Normal 10 2 5 2" xfId="654" xr:uid="{00000000-0005-0000-0000-000044020000}"/>
    <cellStyle name="Normal 10 2 6" xfId="655" xr:uid="{00000000-0005-0000-0000-000045020000}"/>
    <cellStyle name="Normal 10 2 6 2" xfId="656" xr:uid="{00000000-0005-0000-0000-000046020000}"/>
    <cellStyle name="Normal 10 2 7" xfId="657" xr:uid="{00000000-0005-0000-0000-000047020000}"/>
    <cellStyle name="Normal 10 2 7 2" xfId="658" xr:uid="{00000000-0005-0000-0000-000048020000}"/>
    <cellStyle name="Normal 10 2 8" xfId="659" xr:uid="{00000000-0005-0000-0000-000049020000}"/>
    <cellStyle name="Normal 10 3" xfId="660" xr:uid="{00000000-0005-0000-0000-00004A020000}"/>
    <cellStyle name="Normal 10 3 2" xfId="661" xr:uid="{00000000-0005-0000-0000-00004B020000}"/>
    <cellStyle name="Normal 10 3 2 2" xfId="662" xr:uid="{00000000-0005-0000-0000-00004C020000}"/>
    <cellStyle name="Normal 10 3 3" xfId="663" xr:uid="{00000000-0005-0000-0000-00004D020000}"/>
    <cellStyle name="Normal 10 3 3 2" xfId="664" xr:uid="{00000000-0005-0000-0000-00004E020000}"/>
    <cellStyle name="Normal 10 3 4" xfId="665" xr:uid="{00000000-0005-0000-0000-00004F020000}"/>
    <cellStyle name="Normal 10 3 4 2" xfId="666" xr:uid="{00000000-0005-0000-0000-000050020000}"/>
    <cellStyle name="Normal 10 3 5" xfId="667" xr:uid="{00000000-0005-0000-0000-000051020000}"/>
    <cellStyle name="Normal 10 3 5 2" xfId="668" xr:uid="{00000000-0005-0000-0000-000052020000}"/>
    <cellStyle name="Normal 10 3 6" xfId="669" xr:uid="{00000000-0005-0000-0000-000053020000}"/>
    <cellStyle name="Normal 10 3 6 2" xfId="670" xr:uid="{00000000-0005-0000-0000-000054020000}"/>
    <cellStyle name="Normal 10 3 7" xfId="671" xr:uid="{00000000-0005-0000-0000-000055020000}"/>
    <cellStyle name="Normal 10 3 7 2" xfId="672" xr:uid="{00000000-0005-0000-0000-000056020000}"/>
    <cellStyle name="Normal 10 3 8" xfId="673" xr:uid="{00000000-0005-0000-0000-000057020000}"/>
    <cellStyle name="Normal 10 4" xfId="674" xr:uid="{00000000-0005-0000-0000-000058020000}"/>
    <cellStyle name="Normal 10 4 2" xfId="675" xr:uid="{00000000-0005-0000-0000-000059020000}"/>
    <cellStyle name="Normal 10 4 2 2" xfId="676" xr:uid="{00000000-0005-0000-0000-00005A020000}"/>
    <cellStyle name="Normal 10 4 3" xfId="677" xr:uid="{00000000-0005-0000-0000-00005B020000}"/>
    <cellStyle name="Normal 10 4 3 2" xfId="678" xr:uid="{00000000-0005-0000-0000-00005C020000}"/>
    <cellStyle name="Normal 10 4 4" xfId="679" xr:uid="{00000000-0005-0000-0000-00005D020000}"/>
    <cellStyle name="Normal 10 4 4 2" xfId="680" xr:uid="{00000000-0005-0000-0000-00005E020000}"/>
    <cellStyle name="Normal 10 4 5" xfId="681" xr:uid="{00000000-0005-0000-0000-00005F020000}"/>
    <cellStyle name="Normal 10 4 5 2" xfId="682" xr:uid="{00000000-0005-0000-0000-000060020000}"/>
    <cellStyle name="Normal 10 4 6" xfId="683" xr:uid="{00000000-0005-0000-0000-000061020000}"/>
    <cellStyle name="Normal 10 4 6 2" xfId="684" xr:uid="{00000000-0005-0000-0000-000062020000}"/>
    <cellStyle name="Normal 10 4 7" xfId="685" xr:uid="{00000000-0005-0000-0000-000063020000}"/>
    <cellStyle name="Normal 10 4 7 2" xfId="686" xr:uid="{00000000-0005-0000-0000-000064020000}"/>
    <cellStyle name="Normal 10 4 8" xfId="687" xr:uid="{00000000-0005-0000-0000-000065020000}"/>
    <cellStyle name="Normal 10 5" xfId="688" xr:uid="{00000000-0005-0000-0000-000066020000}"/>
    <cellStyle name="Normal 10 5 2" xfId="689" xr:uid="{00000000-0005-0000-0000-000067020000}"/>
    <cellStyle name="Normal 10 5 2 2" xfId="690" xr:uid="{00000000-0005-0000-0000-000068020000}"/>
    <cellStyle name="Normal 10 5 3" xfId="691" xr:uid="{00000000-0005-0000-0000-000069020000}"/>
    <cellStyle name="Normal 10 5 3 2" xfId="692" xr:uid="{00000000-0005-0000-0000-00006A020000}"/>
    <cellStyle name="Normal 10 5 4" xfId="693" xr:uid="{00000000-0005-0000-0000-00006B020000}"/>
    <cellStyle name="Normal 10 5 4 2" xfId="694" xr:uid="{00000000-0005-0000-0000-00006C020000}"/>
    <cellStyle name="Normal 10 5 5" xfId="695" xr:uid="{00000000-0005-0000-0000-00006D020000}"/>
    <cellStyle name="Normal 10 5 5 2" xfId="696" xr:uid="{00000000-0005-0000-0000-00006E020000}"/>
    <cellStyle name="Normal 10 5 6" xfId="697" xr:uid="{00000000-0005-0000-0000-00006F020000}"/>
    <cellStyle name="Normal 10 5 6 2" xfId="698" xr:uid="{00000000-0005-0000-0000-000070020000}"/>
    <cellStyle name="Normal 10 5 7" xfId="699" xr:uid="{00000000-0005-0000-0000-000071020000}"/>
    <cellStyle name="Normal 10 5 7 2" xfId="700" xr:uid="{00000000-0005-0000-0000-000072020000}"/>
    <cellStyle name="Normal 10 5 8" xfId="701" xr:uid="{00000000-0005-0000-0000-000073020000}"/>
    <cellStyle name="Normal 10 6" xfId="702" xr:uid="{00000000-0005-0000-0000-000074020000}"/>
    <cellStyle name="Normal 10 7" xfId="703" xr:uid="{00000000-0005-0000-0000-000075020000}"/>
    <cellStyle name="Normal 10 7 2" xfId="704" xr:uid="{00000000-0005-0000-0000-000076020000}"/>
    <cellStyle name="Normal 10 8" xfId="705" xr:uid="{00000000-0005-0000-0000-000077020000}"/>
    <cellStyle name="Normal 10 8 2" xfId="706" xr:uid="{00000000-0005-0000-0000-000078020000}"/>
    <cellStyle name="Normal 10 9" xfId="707" xr:uid="{00000000-0005-0000-0000-000079020000}"/>
    <cellStyle name="Normal 10 9 2" xfId="708" xr:uid="{00000000-0005-0000-0000-00007A020000}"/>
    <cellStyle name="Normal 11" xfId="709" xr:uid="{00000000-0005-0000-0000-00007B020000}"/>
    <cellStyle name="Normal 11 2" xfId="710" xr:uid="{00000000-0005-0000-0000-00007C020000}"/>
    <cellStyle name="Normal 11 3" xfId="711" xr:uid="{00000000-0005-0000-0000-00007D020000}"/>
    <cellStyle name="Normal 11 4" xfId="712" xr:uid="{00000000-0005-0000-0000-00007E020000}"/>
    <cellStyle name="Normal 11 5" xfId="713" xr:uid="{00000000-0005-0000-0000-00007F020000}"/>
    <cellStyle name="Normal 11 6" xfId="714" xr:uid="{00000000-0005-0000-0000-000080020000}"/>
    <cellStyle name="Normal 11 7" xfId="715" xr:uid="{00000000-0005-0000-0000-000081020000}"/>
    <cellStyle name="Normal 12" xfId="716" xr:uid="{00000000-0005-0000-0000-000082020000}"/>
    <cellStyle name="Normal 12 2" xfId="717" xr:uid="{00000000-0005-0000-0000-000083020000}"/>
    <cellStyle name="Normal 13" xfId="718" xr:uid="{00000000-0005-0000-0000-000084020000}"/>
    <cellStyle name="Normal 13 2" xfId="719" xr:uid="{00000000-0005-0000-0000-000085020000}"/>
    <cellStyle name="Normal 14" xfId="720" xr:uid="{00000000-0005-0000-0000-000086020000}"/>
    <cellStyle name="Normal 15" xfId="721" xr:uid="{00000000-0005-0000-0000-000087020000}"/>
    <cellStyle name="Normal 15 10" xfId="722" xr:uid="{00000000-0005-0000-0000-000088020000}"/>
    <cellStyle name="Normal 15 2" xfId="723" xr:uid="{00000000-0005-0000-0000-000089020000}"/>
    <cellStyle name="Normal 15 2 2" xfId="724" xr:uid="{00000000-0005-0000-0000-00008A020000}"/>
    <cellStyle name="Normal 15 2 2 2" xfId="725" xr:uid="{00000000-0005-0000-0000-00008B020000}"/>
    <cellStyle name="Normal 15 2 3" xfId="726" xr:uid="{00000000-0005-0000-0000-00008C020000}"/>
    <cellStyle name="Normal 15 2 3 2" xfId="727" xr:uid="{00000000-0005-0000-0000-00008D020000}"/>
    <cellStyle name="Normal 15 2 4" xfId="728" xr:uid="{00000000-0005-0000-0000-00008E020000}"/>
    <cellStyle name="Normal 15 2 4 2" xfId="729" xr:uid="{00000000-0005-0000-0000-00008F020000}"/>
    <cellStyle name="Normal 15 2 5" xfId="730" xr:uid="{00000000-0005-0000-0000-000090020000}"/>
    <cellStyle name="Normal 15 2 5 2" xfId="731" xr:uid="{00000000-0005-0000-0000-000091020000}"/>
    <cellStyle name="Normal 15 2 6" xfId="732" xr:uid="{00000000-0005-0000-0000-000092020000}"/>
    <cellStyle name="Normal 15 2 6 2" xfId="733" xr:uid="{00000000-0005-0000-0000-000093020000}"/>
    <cellStyle name="Normal 15 2 7" xfId="734" xr:uid="{00000000-0005-0000-0000-000094020000}"/>
    <cellStyle name="Normal 15 2 7 2" xfId="735" xr:uid="{00000000-0005-0000-0000-000095020000}"/>
    <cellStyle name="Normal 15 2 8" xfId="736" xr:uid="{00000000-0005-0000-0000-000096020000}"/>
    <cellStyle name="Normal 15 3" xfId="737" xr:uid="{00000000-0005-0000-0000-000097020000}"/>
    <cellStyle name="Normal 15 3 2" xfId="738" xr:uid="{00000000-0005-0000-0000-000098020000}"/>
    <cellStyle name="Normal 15 3 2 2" xfId="739" xr:uid="{00000000-0005-0000-0000-000099020000}"/>
    <cellStyle name="Normal 15 3 3" xfId="740" xr:uid="{00000000-0005-0000-0000-00009A020000}"/>
    <cellStyle name="Normal 15 3 3 2" xfId="741" xr:uid="{00000000-0005-0000-0000-00009B020000}"/>
    <cellStyle name="Normal 15 3 4" xfId="742" xr:uid="{00000000-0005-0000-0000-00009C020000}"/>
    <cellStyle name="Normal 15 3 4 2" xfId="743" xr:uid="{00000000-0005-0000-0000-00009D020000}"/>
    <cellStyle name="Normal 15 3 5" xfId="744" xr:uid="{00000000-0005-0000-0000-00009E020000}"/>
    <cellStyle name="Normal 15 3 5 2" xfId="745" xr:uid="{00000000-0005-0000-0000-00009F020000}"/>
    <cellStyle name="Normal 15 3 6" xfId="746" xr:uid="{00000000-0005-0000-0000-0000A0020000}"/>
    <cellStyle name="Normal 15 3 6 2" xfId="747" xr:uid="{00000000-0005-0000-0000-0000A1020000}"/>
    <cellStyle name="Normal 15 3 7" xfId="748" xr:uid="{00000000-0005-0000-0000-0000A2020000}"/>
    <cellStyle name="Normal 15 3 7 2" xfId="749" xr:uid="{00000000-0005-0000-0000-0000A3020000}"/>
    <cellStyle name="Normal 15 3 8" xfId="750" xr:uid="{00000000-0005-0000-0000-0000A4020000}"/>
    <cellStyle name="Normal 15 4" xfId="751" xr:uid="{00000000-0005-0000-0000-0000A5020000}"/>
    <cellStyle name="Normal 15 4 2" xfId="752" xr:uid="{00000000-0005-0000-0000-0000A6020000}"/>
    <cellStyle name="Normal 15 5" xfId="753" xr:uid="{00000000-0005-0000-0000-0000A7020000}"/>
    <cellStyle name="Normal 15 5 2" xfId="754" xr:uid="{00000000-0005-0000-0000-0000A8020000}"/>
    <cellStyle name="Normal 15 6" xfId="755" xr:uid="{00000000-0005-0000-0000-0000A9020000}"/>
    <cellStyle name="Normal 15 6 2" xfId="756" xr:uid="{00000000-0005-0000-0000-0000AA020000}"/>
    <cellStyle name="Normal 15 7" xfId="757" xr:uid="{00000000-0005-0000-0000-0000AB020000}"/>
    <cellStyle name="Normal 15 7 2" xfId="758" xr:uid="{00000000-0005-0000-0000-0000AC020000}"/>
    <cellStyle name="Normal 15 8" xfId="759" xr:uid="{00000000-0005-0000-0000-0000AD020000}"/>
    <cellStyle name="Normal 15 8 2" xfId="760" xr:uid="{00000000-0005-0000-0000-0000AE020000}"/>
    <cellStyle name="Normal 15 9" xfId="761" xr:uid="{00000000-0005-0000-0000-0000AF020000}"/>
    <cellStyle name="Normal 15 9 2" xfId="762" xr:uid="{00000000-0005-0000-0000-0000B0020000}"/>
    <cellStyle name="Normal 16" xfId="763" xr:uid="{00000000-0005-0000-0000-0000B1020000}"/>
    <cellStyle name="Normal 16 10" xfId="764" xr:uid="{00000000-0005-0000-0000-0000B2020000}"/>
    <cellStyle name="Normal 16 2" xfId="765" xr:uid="{00000000-0005-0000-0000-0000B3020000}"/>
    <cellStyle name="Normal 16 2 2" xfId="766" xr:uid="{00000000-0005-0000-0000-0000B4020000}"/>
    <cellStyle name="Normal 16 2 2 2" xfId="767" xr:uid="{00000000-0005-0000-0000-0000B5020000}"/>
    <cellStyle name="Normal 16 2 3" xfId="768" xr:uid="{00000000-0005-0000-0000-0000B6020000}"/>
    <cellStyle name="Normal 16 2 3 2" xfId="769" xr:uid="{00000000-0005-0000-0000-0000B7020000}"/>
    <cellStyle name="Normal 16 2 4" xfId="770" xr:uid="{00000000-0005-0000-0000-0000B8020000}"/>
    <cellStyle name="Normal 16 2 4 2" xfId="771" xr:uid="{00000000-0005-0000-0000-0000B9020000}"/>
    <cellStyle name="Normal 16 2 5" xfId="772" xr:uid="{00000000-0005-0000-0000-0000BA020000}"/>
    <cellStyle name="Normal 16 2 5 2" xfId="773" xr:uid="{00000000-0005-0000-0000-0000BB020000}"/>
    <cellStyle name="Normal 16 2 6" xfId="774" xr:uid="{00000000-0005-0000-0000-0000BC020000}"/>
    <cellStyle name="Normal 16 2 6 2" xfId="775" xr:uid="{00000000-0005-0000-0000-0000BD020000}"/>
    <cellStyle name="Normal 16 2 7" xfId="776" xr:uid="{00000000-0005-0000-0000-0000BE020000}"/>
    <cellStyle name="Normal 16 2 7 2" xfId="777" xr:uid="{00000000-0005-0000-0000-0000BF020000}"/>
    <cellStyle name="Normal 16 2 8" xfId="778" xr:uid="{00000000-0005-0000-0000-0000C0020000}"/>
    <cellStyle name="Normal 16 3" xfId="779" xr:uid="{00000000-0005-0000-0000-0000C1020000}"/>
    <cellStyle name="Normal 16 3 2" xfId="780" xr:uid="{00000000-0005-0000-0000-0000C2020000}"/>
    <cellStyle name="Normal 16 3 2 2" xfId="781" xr:uid="{00000000-0005-0000-0000-0000C3020000}"/>
    <cellStyle name="Normal 16 3 3" xfId="782" xr:uid="{00000000-0005-0000-0000-0000C4020000}"/>
    <cellStyle name="Normal 16 3 3 2" xfId="783" xr:uid="{00000000-0005-0000-0000-0000C5020000}"/>
    <cellStyle name="Normal 16 3 4" xfId="784" xr:uid="{00000000-0005-0000-0000-0000C6020000}"/>
    <cellStyle name="Normal 16 3 4 2" xfId="785" xr:uid="{00000000-0005-0000-0000-0000C7020000}"/>
    <cellStyle name="Normal 16 3 5" xfId="786" xr:uid="{00000000-0005-0000-0000-0000C8020000}"/>
    <cellStyle name="Normal 16 3 5 2" xfId="787" xr:uid="{00000000-0005-0000-0000-0000C9020000}"/>
    <cellStyle name="Normal 16 3 6" xfId="788" xr:uid="{00000000-0005-0000-0000-0000CA020000}"/>
    <cellStyle name="Normal 16 3 6 2" xfId="789" xr:uid="{00000000-0005-0000-0000-0000CB020000}"/>
    <cellStyle name="Normal 16 3 7" xfId="790" xr:uid="{00000000-0005-0000-0000-0000CC020000}"/>
    <cellStyle name="Normal 16 3 7 2" xfId="791" xr:uid="{00000000-0005-0000-0000-0000CD020000}"/>
    <cellStyle name="Normal 16 3 8" xfId="792" xr:uid="{00000000-0005-0000-0000-0000CE020000}"/>
    <cellStyle name="Normal 16 4" xfId="793" xr:uid="{00000000-0005-0000-0000-0000CF020000}"/>
    <cellStyle name="Normal 16 4 2" xfId="794" xr:uid="{00000000-0005-0000-0000-0000D0020000}"/>
    <cellStyle name="Normal 16 5" xfId="795" xr:uid="{00000000-0005-0000-0000-0000D1020000}"/>
    <cellStyle name="Normal 16 5 2" xfId="796" xr:uid="{00000000-0005-0000-0000-0000D2020000}"/>
    <cellStyle name="Normal 16 6" xfId="797" xr:uid="{00000000-0005-0000-0000-0000D3020000}"/>
    <cellStyle name="Normal 16 6 2" xfId="798" xr:uid="{00000000-0005-0000-0000-0000D4020000}"/>
    <cellStyle name="Normal 16 7" xfId="799" xr:uid="{00000000-0005-0000-0000-0000D5020000}"/>
    <cellStyle name="Normal 16 7 2" xfId="800" xr:uid="{00000000-0005-0000-0000-0000D6020000}"/>
    <cellStyle name="Normal 16 8" xfId="801" xr:uid="{00000000-0005-0000-0000-0000D7020000}"/>
    <cellStyle name="Normal 16 8 2" xfId="802" xr:uid="{00000000-0005-0000-0000-0000D8020000}"/>
    <cellStyle name="Normal 16 9" xfId="803" xr:uid="{00000000-0005-0000-0000-0000D9020000}"/>
    <cellStyle name="Normal 16 9 2" xfId="804" xr:uid="{00000000-0005-0000-0000-0000DA020000}"/>
    <cellStyle name="Normal 17" xfId="805" xr:uid="{00000000-0005-0000-0000-0000DB020000}"/>
    <cellStyle name="Normal 17 10" xfId="806" xr:uid="{00000000-0005-0000-0000-0000DC020000}"/>
    <cellStyle name="Normal 17 2" xfId="807" xr:uid="{00000000-0005-0000-0000-0000DD020000}"/>
    <cellStyle name="Normal 17 3" xfId="808" xr:uid="{00000000-0005-0000-0000-0000DE020000}"/>
    <cellStyle name="Normal 17 4" xfId="809" xr:uid="{00000000-0005-0000-0000-0000DF020000}"/>
    <cellStyle name="Normal 17 4 2" xfId="810" xr:uid="{00000000-0005-0000-0000-0000E0020000}"/>
    <cellStyle name="Normal 17 5" xfId="811" xr:uid="{00000000-0005-0000-0000-0000E1020000}"/>
    <cellStyle name="Normal 17 5 2" xfId="812" xr:uid="{00000000-0005-0000-0000-0000E2020000}"/>
    <cellStyle name="Normal 17 6" xfId="813" xr:uid="{00000000-0005-0000-0000-0000E3020000}"/>
    <cellStyle name="Normal 17 6 2" xfId="814" xr:uid="{00000000-0005-0000-0000-0000E4020000}"/>
    <cellStyle name="Normal 17 7" xfId="815" xr:uid="{00000000-0005-0000-0000-0000E5020000}"/>
    <cellStyle name="Normal 17 7 2" xfId="816" xr:uid="{00000000-0005-0000-0000-0000E6020000}"/>
    <cellStyle name="Normal 17 8" xfId="817" xr:uid="{00000000-0005-0000-0000-0000E7020000}"/>
    <cellStyle name="Normal 17 8 2" xfId="818" xr:uid="{00000000-0005-0000-0000-0000E8020000}"/>
    <cellStyle name="Normal 17 9" xfId="819" xr:uid="{00000000-0005-0000-0000-0000E9020000}"/>
    <cellStyle name="Normal 17 9 2" xfId="820" xr:uid="{00000000-0005-0000-0000-0000EA020000}"/>
    <cellStyle name="Normal 18" xfId="821" xr:uid="{00000000-0005-0000-0000-0000EB020000}"/>
    <cellStyle name="Normal 19" xfId="822" xr:uid="{00000000-0005-0000-0000-0000EC020000}"/>
    <cellStyle name="Normal 2" xfId="141" xr:uid="{00000000-0005-0000-0000-0000ED020000}"/>
    <cellStyle name="Normal 2 10" xfId="823" xr:uid="{00000000-0005-0000-0000-0000EE020000}"/>
    <cellStyle name="Normal 2 11" xfId="824" xr:uid="{00000000-0005-0000-0000-0000EF020000}"/>
    <cellStyle name="Normal 2 12" xfId="825" xr:uid="{00000000-0005-0000-0000-0000F0020000}"/>
    <cellStyle name="Normal 2 13" xfId="826" xr:uid="{00000000-0005-0000-0000-0000F1020000}"/>
    <cellStyle name="Normal 2 14" xfId="827" xr:uid="{00000000-0005-0000-0000-0000F2020000}"/>
    <cellStyle name="Normal 2 15" xfId="828" xr:uid="{00000000-0005-0000-0000-0000F3020000}"/>
    <cellStyle name="Normal 2 16" xfId="829" xr:uid="{00000000-0005-0000-0000-0000F4020000}"/>
    <cellStyle name="Normal 2 17" xfId="830" xr:uid="{00000000-0005-0000-0000-0000F5020000}"/>
    <cellStyle name="Normal 2 18" xfId="831" xr:uid="{00000000-0005-0000-0000-0000F6020000}"/>
    <cellStyle name="Normal 2 19" xfId="832" xr:uid="{00000000-0005-0000-0000-0000F7020000}"/>
    <cellStyle name="Normal 2 2" xfId="142" xr:uid="{00000000-0005-0000-0000-0000F8020000}"/>
    <cellStyle name="Normal 2 2 10" xfId="833" xr:uid="{00000000-0005-0000-0000-0000F9020000}"/>
    <cellStyle name="Normal 2 2 11" xfId="834" xr:uid="{00000000-0005-0000-0000-0000FA020000}"/>
    <cellStyle name="Normal 2 2 12" xfId="835" xr:uid="{00000000-0005-0000-0000-0000FB020000}"/>
    <cellStyle name="Normal 2 2 13" xfId="836" xr:uid="{00000000-0005-0000-0000-0000FC020000}"/>
    <cellStyle name="Normal 2 2 14" xfId="837" xr:uid="{00000000-0005-0000-0000-0000FD020000}"/>
    <cellStyle name="Normal 2 2 15" xfId="838" xr:uid="{00000000-0005-0000-0000-0000FE020000}"/>
    <cellStyle name="Normal 2 2 16" xfId="839" xr:uid="{00000000-0005-0000-0000-0000FF020000}"/>
    <cellStyle name="Normal 2 2 17" xfId="840" xr:uid="{00000000-0005-0000-0000-000000030000}"/>
    <cellStyle name="Normal 2 2 2" xfId="841" xr:uid="{00000000-0005-0000-0000-000001030000}"/>
    <cellStyle name="Normal 2 2 3" xfId="842" xr:uid="{00000000-0005-0000-0000-000002030000}"/>
    <cellStyle name="Normal 2 2 4" xfId="843" xr:uid="{00000000-0005-0000-0000-000003030000}"/>
    <cellStyle name="Normal 2 2 5" xfId="844" xr:uid="{00000000-0005-0000-0000-000004030000}"/>
    <cellStyle name="Normal 2 2 6" xfId="845" xr:uid="{00000000-0005-0000-0000-000005030000}"/>
    <cellStyle name="Normal 2 2 7" xfId="846" xr:uid="{00000000-0005-0000-0000-000006030000}"/>
    <cellStyle name="Normal 2 2 8" xfId="847" xr:uid="{00000000-0005-0000-0000-000007030000}"/>
    <cellStyle name="Normal 2 2 9" xfId="848" xr:uid="{00000000-0005-0000-0000-000008030000}"/>
    <cellStyle name="Normal 2 20" xfId="849" xr:uid="{00000000-0005-0000-0000-000009030000}"/>
    <cellStyle name="Normal 2 20 2" xfId="850" xr:uid="{00000000-0005-0000-0000-00000A030000}"/>
    <cellStyle name="Normal 2 20 2 2" xfId="851" xr:uid="{00000000-0005-0000-0000-00000B030000}"/>
    <cellStyle name="Normal 2 20 2 3" xfId="852" xr:uid="{00000000-0005-0000-0000-00000C030000}"/>
    <cellStyle name="Normal 2 20 2 4" xfId="853" xr:uid="{00000000-0005-0000-0000-00000D030000}"/>
    <cellStyle name="Normal 2 20 2 5" xfId="854" xr:uid="{00000000-0005-0000-0000-00000E030000}"/>
    <cellStyle name="Normal 2 20 2 6" xfId="855" xr:uid="{00000000-0005-0000-0000-00000F030000}"/>
    <cellStyle name="Normal 2 20 3" xfId="856" xr:uid="{00000000-0005-0000-0000-000010030000}"/>
    <cellStyle name="Normal 2 20 4" xfId="857" xr:uid="{00000000-0005-0000-0000-000011030000}"/>
    <cellStyle name="Normal 2 20 5" xfId="858" xr:uid="{00000000-0005-0000-0000-000012030000}"/>
    <cellStyle name="Normal 2 20 6" xfId="859" xr:uid="{00000000-0005-0000-0000-000013030000}"/>
    <cellStyle name="Normal 2 20 7" xfId="860" xr:uid="{00000000-0005-0000-0000-000014030000}"/>
    <cellStyle name="Normal 2 21" xfId="861" xr:uid="{00000000-0005-0000-0000-000015030000}"/>
    <cellStyle name="Normal 2 21 2" xfId="862" xr:uid="{00000000-0005-0000-0000-000016030000}"/>
    <cellStyle name="Normal 2 21 2 2" xfId="863" xr:uid="{00000000-0005-0000-0000-000017030000}"/>
    <cellStyle name="Normal 2 21 2 3" xfId="864" xr:uid="{00000000-0005-0000-0000-000018030000}"/>
    <cellStyle name="Normal 2 21 2 4" xfId="865" xr:uid="{00000000-0005-0000-0000-000019030000}"/>
    <cellStyle name="Normal 2 21 2 5" xfId="866" xr:uid="{00000000-0005-0000-0000-00001A030000}"/>
    <cellStyle name="Normal 2 21 2 6" xfId="867" xr:uid="{00000000-0005-0000-0000-00001B030000}"/>
    <cellStyle name="Normal 2 21 3" xfId="868" xr:uid="{00000000-0005-0000-0000-00001C030000}"/>
    <cellStyle name="Normal 2 21 4" xfId="869" xr:uid="{00000000-0005-0000-0000-00001D030000}"/>
    <cellStyle name="Normal 2 21 5" xfId="870" xr:uid="{00000000-0005-0000-0000-00001E030000}"/>
    <cellStyle name="Normal 2 21 6" xfId="871" xr:uid="{00000000-0005-0000-0000-00001F030000}"/>
    <cellStyle name="Normal 2 21 7" xfId="872" xr:uid="{00000000-0005-0000-0000-000020030000}"/>
    <cellStyle name="Normal 2 22" xfId="873" xr:uid="{00000000-0005-0000-0000-000021030000}"/>
    <cellStyle name="Normal 2 22 2" xfId="874" xr:uid="{00000000-0005-0000-0000-000022030000}"/>
    <cellStyle name="Normal 2 22 2 2" xfId="875" xr:uid="{00000000-0005-0000-0000-000023030000}"/>
    <cellStyle name="Normal 2 22 2 3" xfId="876" xr:uid="{00000000-0005-0000-0000-000024030000}"/>
    <cellStyle name="Normal 2 22 2 4" xfId="877" xr:uid="{00000000-0005-0000-0000-000025030000}"/>
    <cellStyle name="Normal 2 22 2 5" xfId="878" xr:uid="{00000000-0005-0000-0000-000026030000}"/>
    <cellStyle name="Normal 2 22 2 6" xfId="879" xr:uid="{00000000-0005-0000-0000-000027030000}"/>
    <cellStyle name="Normal 2 22 3" xfId="880" xr:uid="{00000000-0005-0000-0000-000028030000}"/>
    <cellStyle name="Normal 2 22 4" xfId="881" xr:uid="{00000000-0005-0000-0000-000029030000}"/>
    <cellStyle name="Normal 2 22 5" xfId="882" xr:uid="{00000000-0005-0000-0000-00002A030000}"/>
    <cellStyle name="Normal 2 22 6" xfId="883" xr:uid="{00000000-0005-0000-0000-00002B030000}"/>
    <cellStyle name="Normal 2 22 7" xfId="884" xr:uid="{00000000-0005-0000-0000-00002C030000}"/>
    <cellStyle name="Normal 2 23" xfId="885" xr:uid="{00000000-0005-0000-0000-00002D030000}"/>
    <cellStyle name="Normal 2 23 2" xfId="886" xr:uid="{00000000-0005-0000-0000-00002E030000}"/>
    <cellStyle name="Normal 2 23 2 2" xfId="887" xr:uid="{00000000-0005-0000-0000-00002F030000}"/>
    <cellStyle name="Normal 2 23 2 3" xfId="888" xr:uid="{00000000-0005-0000-0000-000030030000}"/>
    <cellStyle name="Normal 2 23 2 4" xfId="889" xr:uid="{00000000-0005-0000-0000-000031030000}"/>
    <cellStyle name="Normal 2 23 2 5" xfId="890" xr:uid="{00000000-0005-0000-0000-000032030000}"/>
    <cellStyle name="Normal 2 23 2 6" xfId="891" xr:uid="{00000000-0005-0000-0000-000033030000}"/>
    <cellStyle name="Normal 2 23 3" xfId="892" xr:uid="{00000000-0005-0000-0000-000034030000}"/>
    <cellStyle name="Normal 2 23 4" xfId="893" xr:uid="{00000000-0005-0000-0000-000035030000}"/>
    <cellStyle name="Normal 2 23 5" xfId="894" xr:uid="{00000000-0005-0000-0000-000036030000}"/>
    <cellStyle name="Normal 2 23 6" xfId="895" xr:uid="{00000000-0005-0000-0000-000037030000}"/>
    <cellStyle name="Normal 2 23 7" xfId="896" xr:uid="{00000000-0005-0000-0000-000038030000}"/>
    <cellStyle name="Normal 2 24" xfId="897" xr:uid="{00000000-0005-0000-0000-000039030000}"/>
    <cellStyle name="Normal 2 24 2" xfId="898" xr:uid="{00000000-0005-0000-0000-00003A030000}"/>
    <cellStyle name="Normal 2 24 2 2" xfId="899" xr:uid="{00000000-0005-0000-0000-00003B030000}"/>
    <cellStyle name="Normal 2 24 2 3" xfId="900" xr:uid="{00000000-0005-0000-0000-00003C030000}"/>
    <cellStyle name="Normal 2 24 2 4" xfId="901" xr:uid="{00000000-0005-0000-0000-00003D030000}"/>
    <cellStyle name="Normal 2 24 2 5" xfId="902" xr:uid="{00000000-0005-0000-0000-00003E030000}"/>
    <cellStyle name="Normal 2 24 2 6" xfId="903" xr:uid="{00000000-0005-0000-0000-00003F030000}"/>
    <cellStyle name="Normal 2 24 3" xfId="904" xr:uid="{00000000-0005-0000-0000-000040030000}"/>
    <cellStyle name="Normal 2 24 4" xfId="905" xr:uid="{00000000-0005-0000-0000-000041030000}"/>
    <cellStyle name="Normal 2 24 5" xfId="906" xr:uid="{00000000-0005-0000-0000-000042030000}"/>
    <cellStyle name="Normal 2 24 6" xfId="907" xr:uid="{00000000-0005-0000-0000-000043030000}"/>
    <cellStyle name="Normal 2 24 7" xfId="908" xr:uid="{00000000-0005-0000-0000-000044030000}"/>
    <cellStyle name="Normal 2 25" xfId="909" xr:uid="{00000000-0005-0000-0000-000045030000}"/>
    <cellStyle name="Normal 2 25 2" xfId="910" xr:uid="{00000000-0005-0000-0000-000046030000}"/>
    <cellStyle name="Normal 2 25 2 2" xfId="911" xr:uid="{00000000-0005-0000-0000-000047030000}"/>
    <cellStyle name="Normal 2 25 2 3" xfId="912" xr:uid="{00000000-0005-0000-0000-000048030000}"/>
    <cellStyle name="Normal 2 25 2 4" xfId="913" xr:uid="{00000000-0005-0000-0000-000049030000}"/>
    <cellStyle name="Normal 2 25 2 5" xfId="914" xr:uid="{00000000-0005-0000-0000-00004A030000}"/>
    <cellStyle name="Normal 2 25 2 6" xfId="915" xr:uid="{00000000-0005-0000-0000-00004B030000}"/>
    <cellStyle name="Normal 2 25 3" xfId="916" xr:uid="{00000000-0005-0000-0000-00004C030000}"/>
    <cellStyle name="Normal 2 25 4" xfId="917" xr:uid="{00000000-0005-0000-0000-00004D030000}"/>
    <cellStyle name="Normal 2 25 5" xfId="918" xr:uid="{00000000-0005-0000-0000-00004E030000}"/>
    <cellStyle name="Normal 2 25 6" xfId="919" xr:uid="{00000000-0005-0000-0000-00004F030000}"/>
    <cellStyle name="Normal 2 25 7" xfId="920" xr:uid="{00000000-0005-0000-0000-000050030000}"/>
    <cellStyle name="Normal 2 26" xfId="921" xr:uid="{00000000-0005-0000-0000-000051030000}"/>
    <cellStyle name="Normal 2 26 2" xfId="922" xr:uid="{00000000-0005-0000-0000-000052030000}"/>
    <cellStyle name="Normal 2 26 2 2" xfId="923" xr:uid="{00000000-0005-0000-0000-000053030000}"/>
    <cellStyle name="Normal 2 26 2 3" xfId="924" xr:uid="{00000000-0005-0000-0000-000054030000}"/>
    <cellStyle name="Normal 2 26 2 4" xfId="925" xr:uid="{00000000-0005-0000-0000-000055030000}"/>
    <cellStyle name="Normal 2 26 2 5" xfId="926" xr:uid="{00000000-0005-0000-0000-000056030000}"/>
    <cellStyle name="Normal 2 26 2 6" xfId="927" xr:uid="{00000000-0005-0000-0000-000057030000}"/>
    <cellStyle name="Normal 2 26 3" xfId="928" xr:uid="{00000000-0005-0000-0000-000058030000}"/>
    <cellStyle name="Normal 2 26 4" xfId="929" xr:uid="{00000000-0005-0000-0000-000059030000}"/>
    <cellStyle name="Normal 2 26 5" xfId="930" xr:uid="{00000000-0005-0000-0000-00005A030000}"/>
    <cellStyle name="Normal 2 26 6" xfId="931" xr:uid="{00000000-0005-0000-0000-00005B030000}"/>
    <cellStyle name="Normal 2 26 7" xfId="932" xr:uid="{00000000-0005-0000-0000-00005C030000}"/>
    <cellStyle name="Normal 2 27" xfId="933" xr:uid="{00000000-0005-0000-0000-00005D030000}"/>
    <cellStyle name="Normal 2 27 2" xfId="934" xr:uid="{00000000-0005-0000-0000-00005E030000}"/>
    <cellStyle name="Normal 2 27 2 2" xfId="935" xr:uid="{00000000-0005-0000-0000-00005F030000}"/>
    <cellStyle name="Normal 2 27 2 3" xfId="936" xr:uid="{00000000-0005-0000-0000-000060030000}"/>
    <cellStyle name="Normal 2 27 2 4" xfId="937" xr:uid="{00000000-0005-0000-0000-000061030000}"/>
    <cellStyle name="Normal 2 27 2 5" xfId="938" xr:uid="{00000000-0005-0000-0000-000062030000}"/>
    <cellStyle name="Normal 2 27 2 6" xfId="939" xr:uid="{00000000-0005-0000-0000-000063030000}"/>
    <cellStyle name="Normal 2 27 3" xfId="940" xr:uid="{00000000-0005-0000-0000-000064030000}"/>
    <cellStyle name="Normal 2 27 4" xfId="941" xr:uid="{00000000-0005-0000-0000-000065030000}"/>
    <cellStyle name="Normal 2 27 5" xfId="942" xr:uid="{00000000-0005-0000-0000-000066030000}"/>
    <cellStyle name="Normal 2 27 6" xfId="943" xr:uid="{00000000-0005-0000-0000-000067030000}"/>
    <cellStyle name="Normal 2 27 7" xfId="944" xr:uid="{00000000-0005-0000-0000-000068030000}"/>
    <cellStyle name="Normal 2 28" xfId="945" xr:uid="{00000000-0005-0000-0000-000069030000}"/>
    <cellStyle name="Normal 2 28 2" xfId="946" xr:uid="{00000000-0005-0000-0000-00006A030000}"/>
    <cellStyle name="Normal 2 28 2 2" xfId="947" xr:uid="{00000000-0005-0000-0000-00006B030000}"/>
    <cellStyle name="Normal 2 28 2 3" xfId="948" xr:uid="{00000000-0005-0000-0000-00006C030000}"/>
    <cellStyle name="Normal 2 28 2 4" xfId="949" xr:uid="{00000000-0005-0000-0000-00006D030000}"/>
    <cellStyle name="Normal 2 28 2 5" xfId="950" xr:uid="{00000000-0005-0000-0000-00006E030000}"/>
    <cellStyle name="Normal 2 28 2 6" xfId="951" xr:uid="{00000000-0005-0000-0000-00006F030000}"/>
    <cellStyle name="Normal 2 28 3" xfId="952" xr:uid="{00000000-0005-0000-0000-000070030000}"/>
    <cellStyle name="Normal 2 28 4" xfId="953" xr:uid="{00000000-0005-0000-0000-000071030000}"/>
    <cellStyle name="Normal 2 28 5" xfId="954" xr:uid="{00000000-0005-0000-0000-000072030000}"/>
    <cellStyle name="Normal 2 28 6" xfId="955" xr:uid="{00000000-0005-0000-0000-000073030000}"/>
    <cellStyle name="Normal 2 28 7" xfId="956" xr:uid="{00000000-0005-0000-0000-000074030000}"/>
    <cellStyle name="Normal 2 29" xfId="957" xr:uid="{00000000-0005-0000-0000-000075030000}"/>
    <cellStyle name="Normal 2 29 2" xfId="958" xr:uid="{00000000-0005-0000-0000-000076030000}"/>
    <cellStyle name="Normal 2 29 2 2" xfId="959" xr:uid="{00000000-0005-0000-0000-000077030000}"/>
    <cellStyle name="Normal 2 29 2 3" xfId="960" xr:uid="{00000000-0005-0000-0000-000078030000}"/>
    <cellStyle name="Normal 2 29 2 4" xfId="961" xr:uid="{00000000-0005-0000-0000-000079030000}"/>
    <cellStyle name="Normal 2 29 2 5" xfId="962" xr:uid="{00000000-0005-0000-0000-00007A030000}"/>
    <cellStyle name="Normal 2 29 2 6" xfId="963" xr:uid="{00000000-0005-0000-0000-00007B030000}"/>
    <cellStyle name="Normal 2 29 3" xfId="964" xr:uid="{00000000-0005-0000-0000-00007C030000}"/>
    <cellStyle name="Normal 2 29 4" xfId="965" xr:uid="{00000000-0005-0000-0000-00007D030000}"/>
    <cellStyle name="Normal 2 29 5" xfId="966" xr:uid="{00000000-0005-0000-0000-00007E030000}"/>
    <cellStyle name="Normal 2 29 6" xfId="967" xr:uid="{00000000-0005-0000-0000-00007F030000}"/>
    <cellStyle name="Normal 2 29 7" xfId="968" xr:uid="{00000000-0005-0000-0000-000080030000}"/>
    <cellStyle name="Normal 2 3" xfId="143" xr:uid="{00000000-0005-0000-0000-000081030000}"/>
    <cellStyle name="Normal 2 3 10" xfId="969" xr:uid="{00000000-0005-0000-0000-000082030000}"/>
    <cellStyle name="Normal 2 3 11" xfId="970" xr:uid="{00000000-0005-0000-0000-000083030000}"/>
    <cellStyle name="Normal 2 3 12" xfId="971" xr:uid="{00000000-0005-0000-0000-000084030000}"/>
    <cellStyle name="Normal 2 3 13" xfId="972" xr:uid="{00000000-0005-0000-0000-000085030000}"/>
    <cellStyle name="Normal 2 3 14" xfId="973" xr:uid="{00000000-0005-0000-0000-000086030000}"/>
    <cellStyle name="Normal 2 3 15" xfId="974" xr:uid="{00000000-0005-0000-0000-000087030000}"/>
    <cellStyle name="Normal 2 3 16" xfId="975" xr:uid="{00000000-0005-0000-0000-000088030000}"/>
    <cellStyle name="Normal 2 3 17" xfId="976" xr:uid="{00000000-0005-0000-0000-000089030000}"/>
    <cellStyle name="Normal 2 3 2" xfId="977" xr:uid="{00000000-0005-0000-0000-00008A030000}"/>
    <cellStyle name="Normal 2 3 3" xfId="978" xr:uid="{00000000-0005-0000-0000-00008B030000}"/>
    <cellStyle name="Normal 2 3 4" xfId="979" xr:uid="{00000000-0005-0000-0000-00008C030000}"/>
    <cellStyle name="Normal 2 3 5" xfId="980" xr:uid="{00000000-0005-0000-0000-00008D030000}"/>
    <cellStyle name="Normal 2 3 6" xfId="981" xr:uid="{00000000-0005-0000-0000-00008E030000}"/>
    <cellStyle name="Normal 2 3 7" xfId="982" xr:uid="{00000000-0005-0000-0000-00008F030000}"/>
    <cellStyle name="Normal 2 3 8" xfId="983" xr:uid="{00000000-0005-0000-0000-000090030000}"/>
    <cellStyle name="Normal 2 3 9" xfId="984" xr:uid="{00000000-0005-0000-0000-000091030000}"/>
    <cellStyle name="Normal 2 4" xfId="985" xr:uid="{00000000-0005-0000-0000-000092030000}"/>
    <cellStyle name="Normal 2 5" xfId="986" xr:uid="{00000000-0005-0000-0000-000093030000}"/>
    <cellStyle name="Normal 2 6" xfId="987" xr:uid="{00000000-0005-0000-0000-000094030000}"/>
    <cellStyle name="Normal 2 7" xfId="988" xr:uid="{00000000-0005-0000-0000-000095030000}"/>
    <cellStyle name="Normal 2 8" xfId="989" xr:uid="{00000000-0005-0000-0000-000096030000}"/>
    <cellStyle name="Normal 2 9" xfId="990" xr:uid="{00000000-0005-0000-0000-000097030000}"/>
    <cellStyle name="Normal 20" xfId="991" xr:uid="{00000000-0005-0000-0000-000098030000}"/>
    <cellStyle name="Normal 21" xfId="992" xr:uid="{00000000-0005-0000-0000-000099030000}"/>
    <cellStyle name="Normal 22" xfId="993" xr:uid="{00000000-0005-0000-0000-00009A030000}"/>
    <cellStyle name="Normal 22 2" xfId="994" xr:uid="{00000000-0005-0000-0000-00009B030000}"/>
    <cellStyle name="Normal 22 2 2" xfId="995" xr:uid="{00000000-0005-0000-0000-00009C030000}"/>
    <cellStyle name="Normal 22 2 2 2" xfId="996" xr:uid="{00000000-0005-0000-0000-00009D030000}"/>
    <cellStyle name="Normal 22 2 3" xfId="997" xr:uid="{00000000-0005-0000-0000-00009E030000}"/>
    <cellStyle name="Normal 22 2 3 2" xfId="998" xr:uid="{00000000-0005-0000-0000-00009F030000}"/>
    <cellStyle name="Normal 22 2 4" xfId="999" xr:uid="{00000000-0005-0000-0000-0000A0030000}"/>
    <cellStyle name="Normal 22 2 4 2" xfId="1000" xr:uid="{00000000-0005-0000-0000-0000A1030000}"/>
    <cellStyle name="Normal 22 2 5" xfId="1001" xr:uid="{00000000-0005-0000-0000-0000A2030000}"/>
    <cellStyle name="Normal 22 2 5 2" xfId="1002" xr:uid="{00000000-0005-0000-0000-0000A3030000}"/>
    <cellStyle name="Normal 22 2 6" xfId="1003" xr:uid="{00000000-0005-0000-0000-0000A4030000}"/>
    <cellStyle name="Normal 22 2 6 2" xfId="1004" xr:uid="{00000000-0005-0000-0000-0000A5030000}"/>
    <cellStyle name="Normal 22 2 7" xfId="1005" xr:uid="{00000000-0005-0000-0000-0000A6030000}"/>
    <cellStyle name="Normal 22 2 7 2" xfId="1006" xr:uid="{00000000-0005-0000-0000-0000A7030000}"/>
    <cellStyle name="Normal 22 2 8" xfId="1007" xr:uid="{00000000-0005-0000-0000-0000A8030000}"/>
    <cellStyle name="Normal 22 3" xfId="1008" xr:uid="{00000000-0005-0000-0000-0000A9030000}"/>
    <cellStyle name="Normal 22 3 2" xfId="1009" xr:uid="{00000000-0005-0000-0000-0000AA030000}"/>
    <cellStyle name="Normal 22 4" xfId="1010" xr:uid="{00000000-0005-0000-0000-0000AB030000}"/>
    <cellStyle name="Normal 22 4 2" xfId="1011" xr:uid="{00000000-0005-0000-0000-0000AC030000}"/>
    <cellStyle name="Normal 22 5" xfId="1012" xr:uid="{00000000-0005-0000-0000-0000AD030000}"/>
    <cellStyle name="Normal 22 5 2" xfId="1013" xr:uid="{00000000-0005-0000-0000-0000AE030000}"/>
    <cellStyle name="Normal 22 6" xfId="1014" xr:uid="{00000000-0005-0000-0000-0000AF030000}"/>
    <cellStyle name="Normal 22 6 2" xfId="1015" xr:uid="{00000000-0005-0000-0000-0000B0030000}"/>
    <cellStyle name="Normal 22 7" xfId="1016" xr:uid="{00000000-0005-0000-0000-0000B1030000}"/>
    <cellStyle name="Normal 22 7 2" xfId="1017" xr:uid="{00000000-0005-0000-0000-0000B2030000}"/>
    <cellStyle name="Normal 22 8" xfId="1018" xr:uid="{00000000-0005-0000-0000-0000B3030000}"/>
    <cellStyle name="Normal 22 8 2" xfId="1019" xr:uid="{00000000-0005-0000-0000-0000B4030000}"/>
    <cellStyle name="Normal 22 9" xfId="1020" xr:uid="{00000000-0005-0000-0000-0000B5030000}"/>
    <cellStyle name="Normal 23" xfId="1021" xr:uid="{00000000-0005-0000-0000-0000B6030000}"/>
    <cellStyle name="Normal 23 2" xfId="1022" xr:uid="{00000000-0005-0000-0000-0000B7030000}"/>
    <cellStyle name="Normal 24" xfId="1023" xr:uid="{00000000-0005-0000-0000-0000B8030000}"/>
    <cellStyle name="Normal 24 2" xfId="1024" xr:uid="{00000000-0005-0000-0000-0000B9030000}"/>
    <cellStyle name="Normal 25" xfId="1025" xr:uid="{00000000-0005-0000-0000-0000BA030000}"/>
    <cellStyle name="Normal 26" xfId="1026" xr:uid="{00000000-0005-0000-0000-0000BB030000}"/>
    <cellStyle name="Normal 27" xfId="1027" xr:uid="{00000000-0005-0000-0000-0000BC030000}"/>
    <cellStyle name="Normal 28" xfId="1028" xr:uid="{00000000-0005-0000-0000-0000BD030000}"/>
    <cellStyle name="Normal 29" xfId="1029" xr:uid="{00000000-0005-0000-0000-0000BE030000}"/>
    <cellStyle name="Normal 3" xfId="144" xr:uid="{00000000-0005-0000-0000-0000BF030000}"/>
    <cellStyle name="Normal 30" xfId="1030" xr:uid="{00000000-0005-0000-0000-0000C0030000}"/>
    <cellStyle name="Normal 31" xfId="1031" xr:uid="{00000000-0005-0000-0000-0000C1030000}"/>
    <cellStyle name="Normal 31 2" xfId="1032" xr:uid="{00000000-0005-0000-0000-0000C2030000}"/>
    <cellStyle name="Normal 32" xfId="1033" xr:uid="{00000000-0005-0000-0000-0000C3030000}"/>
    <cellStyle name="Normal 32 2" xfId="1034" xr:uid="{00000000-0005-0000-0000-0000C4030000}"/>
    <cellStyle name="Normal 32 2 2" xfId="1035" xr:uid="{00000000-0005-0000-0000-0000C5030000}"/>
    <cellStyle name="Normal 32 3" xfId="1036" xr:uid="{00000000-0005-0000-0000-0000C6030000}"/>
    <cellStyle name="Normal 32 3 2" xfId="1037" xr:uid="{00000000-0005-0000-0000-0000C7030000}"/>
    <cellStyle name="Normal 32 4" xfId="1038" xr:uid="{00000000-0005-0000-0000-0000C8030000}"/>
    <cellStyle name="Normal 32 4 2" xfId="1039" xr:uid="{00000000-0005-0000-0000-0000C9030000}"/>
    <cellStyle name="Normal 32 5" xfId="1040" xr:uid="{00000000-0005-0000-0000-0000CA030000}"/>
    <cellStyle name="Normal 32 5 2" xfId="1041" xr:uid="{00000000-0005-0000-0000-0000CB030000}"/>
    <cellStyle name="Normal 32 6" xfId="1042" xr:uid="{00000000-0005-0000-0000-0000CC030000}"/>
    <cellStyle name="Normal 32 6 2" xfId="1043" xr:uid="{00000000-0005-0000-0000-0000CD030000}"/>
    <cellStyle name="Normal 32 7" xfId="1044" xr:uid="{00000000-0005-0000-0000-0000CE030000}"/>
    <cellStyle name="Normal 33" xfId="1045" xr:uid="{00000000-0005-0000-0000-0000CF030000}"/>
    <cellStyle name="Normal 33 2" xfId="1046" xr:uid="{00000000-0005-0000-0000-0000D0030000}"/>
    <cellStyle name="Normal 33 3" xfId="1047" xr:uid="{00000000-0005-0000-0000-0000D1030000}"/>
    <cellStyle name="Normal 33 4" xfId="1048" xr:uid="{00000000-0005-0000-0000-0000D2030000}"/>
    <cellStyle name="Normal 33 5" xfId="1049" xr:uid="{00000000-0005-0000-0000-0000D3030000}"/>
    <cellStyle name="Normal 34" xfId="1050" xr:uid="{00000000-0005-0000-0000-0000D4030000}"/>
    <cellStyle name="Normal 34 2" xfId="1051" xr:uid="{00000000-0005-0000-0000-0000D5030000}"/>
    <cellStyle name="Normal 34 3" xfId="1052" xr:uid="{00000000-0005-0000-0000-0000D6030000}"/>
    <cellStyle name="Normal 34 4" xfId="1053" xr:uid="{00000000-0005-0000-0000-0000D7030000}"/>
    <cellStyle name="Normal 34 5" xfId="1054" xr:uid="{00000000-0005-0000-0000-0000D8030000}"/>
    <cellStyle name="Normal 35" xfId="1055" xr:uid="{00000000-0005-0000-0000-0000D9030000}"/>
    <cellStyle name="Normal 35 2" xfId="1056" xr:uid="{00000000-0005-0000-0000-0000DA030000}"/>
    <cellStyle name="Normal 35 3" xfId="1057" xr:uid="{00000000-0005-0000-0000-0000DB030000}"/>
    <cellStyle name="Normal 36" xfId="1058" xr:uid="{00000000-0005-0000-0000-0000DC030000}"/>
    <cellStyle name="Normal 37" xfId="1059" xr:uid="{00000000-0005-0000-0000-0000DD030000}"/>
    <cellStyle name="Normal 38" xfId="1060" xr:uid="{00000000-0005-0000-0000-0000DE030000}"/>
    <cellStyle name="Normal 39" xfId="1061" xr:uid="{00000000-0005-0000-0000-0000DF030000}"/>
    <cellStyle name="Normal 4" xfId="145" xr:uid="{00000000-0005-0000-0000-0000E0030000}"/>
    <cellStyle name="Normal 4 10" xfId="1062" xr:uid="{00000000-0005-0000-0000-0000E1030000}"/>
    <cellStyle name="Normal 4 11" xfId="1063" xr:uid="{00000000-0005-0000-0000-0000E2030000}"/>
    <cellStyle name="Normal 4 12" xfId="1064" xr:uid="{00000000-0005-0000-0000-0000E3030000}"/>
    <cellStyle name="Normal 4 13" xfId="1065" xr:uid="{00000000-0005-0000-0000-0000E4030000}"/>
    <cellStyle name="Normal 4 14" xfId="1066" xr:uid="{00000000-0005-0000-0000-0000E5030000}"/>
    <cellStyle name="Normal 4 15" xfId="1067" xr:uid="{00000000-0005-0000-0000-0000E6030000}"/>
    <cellStyle name="Normal 4 16" xfId="1068" xr:uid="{00000000-0005-0000-0000-0000E7030000}"/>
    <cellStyle name="Normal 4 17" xfId="1069" xr:uid="{00000000-0005-0000-0000-0000E8030000}"/>
    <cellStyle name="Normal 4 2" xfId="1070" xr:uid="{00000000-0005-0000-0000-0000E9030000}"/>
    <cellStyle name="Normal 4 3" xfId="1071" xr:uid="{00000000-0005-0000-0000-0000EA030000}"/>
    <cellStyle name="Normal 4 4" xfId="1072" xr:uid="{00000000-0005-0000-0000-0000EB030000}"/>
    <cellStyle name="Normal 4 5" xfId="1073" xr:uid="{00000000-0005-0000-0000-0000EC030000}"/>
    <cellStyle name="Normal 4 6" xfId="1074" xr:uid="{00000000-0005-0000-0000-0000ED030000}"/>
    <cellStyle name="Normal 4 7" xfId="1075" xr:uid="{00000000-0005-0000-0000-0000EE030000}"/>
    <cellStyle name="Normal 4 8" xfId="1076" xr:uid="{00000000-0005-0000-0000-0000EF030000}"/>
    <cellStyle name="Normal 4 9" xfId="1077" xr:uid="{00000000-0005-0000-0000-0000F0030000}"/>
    <cellStyle name="Normal 40" xfId="1626" xr:uid="{00000000-0005-0000-0000-0000F1030000}"/>
    <cellStyle name="Normal 40 2" xfId="1628" xr:uid="{00000000-0005-0000-0000-0000F2030000}"/>
    <cellStyle name="Normal 5" xfId="146" xr:uid="{00000000-0005-0000-0000-0000F3030000}"/>
    <cellStyle name="Normal 5 10" xfId="1078" xr:uid="{00000000-0005-0000-0000-0000F4030000}"/>
    <cellStyle name="Normal 5 11" xfId="1079" xr:uid="{00000000-0005-0000-0000-0000F5030000}"/>
    <cellStyle name="Normal 5 12" xfId="1080" xr:uid="{00000000-0005-0000-0000-0000F6030000}"/>
    <cellStyle name="Normal 5 13" xfId="1081" xr:uid="{00000000-0005-0000-0000-0000F7030000}"/>
    <cellStyle name="Normal 5 14" xfId="1082" xr:uid="{00000000-0005-0000-0000-0000F8030000}"/>
    <cellStyle name="Normal 5 15" xfId="1083" xr:uid="{00000000-0005-0000-0000-0000F9030000}"/>
    <cellStyle name="Normal 5 16" xfId="1084" xr:uid="{00000000-0005-0000-0000-0000FA030000}"/>
    <cellStyle name="Normal 5 17" xfId="1085" xr:uid="{00000000-0005-0000-0000-0000FB030000}"/>
    <cellStyle name="Normal 5 18" xfId="1086" xr:uid="{00000000-0005-0000-0000-0000FC030000}"/>
    <cellStyle name="Normal 5 19" xfId="1087" xr:uid="{00000000-0005-0000-0000-0000FD030000}"/>
    <cellStyle name="Normal 5 2" xfId="1088" xr:uid="{00000000-0005-0000-0000-0000FE030000}"/>
    <cellStyle name="Normal 5 20" xfId="1089" xr:uid="{00000000-0005-0000-0000-0000FF030000}"/>
    <cellStyle name="Normal 5 21" xfId="1090" xr:uid="{00000000-0005-0000-0000-000000040000}"/>
    <cellStyle name="Normal 5 3" xfId="1091" xr:uid="{00000000-0005-0000-0000-000001040000}"/>
    <cellStyle name="Normal 5 4" xfId="1092" xr:uid="{00000000-0005-0000-0000-000002040000}"/>
    <cellStyle name="Normal 5 5" xfId="1093" xr:uid="{00000000-0005-0000-0000-000003040000}"/>
    <cellStyle name="Normal 5 6" xfId="1094" xr:uid="{00000000-0005-0000-0000-000004040000}"/>
    <cellStyle name="Normal 5 7" xfId="1095" xr:uid="{00000000-0005-0000-0000-000005040000}"/>
    <cellStyle name="Normal 5 8" xfId="1096" xr:uid="{00000000-0005-0000-0000-000006040000}"/>
    <cellStyle name="Normal 5 9" xfId="1097" xr:uid="{00000000-0005-0000-0000-000007040000}"/>
    <cellStyle name="Normal 6" xfId="147" xr:uid="{00000000-0005-0000-0000-000008040000}"/>
    <cellStyle name="Normal 6 10" xfId="1098" xr:uid="{00000000-0005-0000-0000-000009040000}"/>
    <cellStyle name="Normal 6 11" xfId="1099" xr:uid="{00000000-0005-0000-0000-00000A040000}"/>
    <cellStyle name="Normal 6 2" xfId="1100" xr:uid="{00000000-0005-0000-0000-00000B040000}"/>
    <cellStyle name="Normal 6 3" xfId="1101" xr:uid="{00000000-0005-0000-0000-00000C040000}"/>
    <cellStyle name="Normal 6 4" xfId="1102" xr:uid="{00000000-0005-0000-0000-00000D040000}"/>
    <cellStyle name="Normal 6 5" xfId="1103" xr:uid="{00000000-0005-0000-0000-00000E040000}"/>
    <cellStyle name="Normal 6 6" xfId="1104" xr:uid="{00000000-0005-0000-0000-00000F040000}"/>
    <cellStyle name="Normal 6 7" xfId="1105" xr:uid="{00000000-0005-0000-0000-000010040000}"/>
    <cellStyle name="Normal 6 8" xfId="1106" xr:uid="{00000000-0005-0000-0000-000011040000}"/>
    <cellStyle name="Normal 6 9" xfId="1107" xr:uid="{00000000-0005-0000-0000-000012040000}"/>
    <cellStyle name="Normal 7" xfId="148" xr:uid="{00000000-0005-0000-0000-000013040000}"/>
    <cellStyle name="Normal 7 10" xfId="1108" xr:uid="{00000000-0005-0000-0000-000014040000}"/>
    <cellStyle name="Normal 7 11" xfId="1109" xr:uid="{00000000-0005-0000-0000-000015040000}"/>
    <cellStyle name="Normal 7 12" xfId="1110" xr:uid="{00000000-0005-0000-0000-000016040000}"/>
    <cellStyle name="Normal 7 12 2" xfId="1111" xr:uid="{00000000-0005-0000-0000-000017040000}"/>
    <cellStyle name="Normal 7 12 3" xfId="1112" xr:uid="{00000000-0005-0000-0000-000018040000}"/>
    <cellStyle name="Normal 7 12 3 2" xfId="1113" xr:uid="{00000000-0005-0000-0000-000019040000}"/>
    <cellStyle name="Normal 7 12 4" xfId="1114" xr:uid="{00000000-0005-0000-0000-00001A040000}"/>
    <cellStyle name="Normal 7 12 4 2" xfId="1115" xr:uid="{00000000-0005-0000-0000-00001B040000}"/>
    <cellStyle name="Normal 7 12 5" xfId="1116" xr:uid="{00000000-0005-0000-0000-00001C040000}"/>
    <cellStyle name="Normal 7 12 5 2" xfId="1117" xr:uid="{00000000-0005-0000-0000-00001D040000}"/>
    <cellStyle name="Normal 7 12 6" xfId="1118" xr:uid="{00000000-0005-0000-0000-00001E040000}"/>
    <cellStyle name="Normal 7 12 6 2" xfId="1119" xr:uid="{00000000-0005-0000-0000-00001F040000}"/>
    <cellStyle name="Normal 7 12 7" xfId="1120" xr:uid="{00000000-0005-0000-0000-000020040000}"/>
    <cellStyle name="Normal 7 12 7 2" xfId="1121" xr:uid="{00000000-0005-0000-0000-000021040000}"/>
    <cellStyle name="Normal 7 12 8" xfId="1122" xr:uid="{00000000-0005-0000-0000-000022040000}"/>
    <cellStyle name="Normal 7 12 8 2" xfId="1123" xr:uid="{00000000-0005-0000-0000-000023040000}"/>
    <cellStyle name="Normal 7 12 9" xfId="1124" xr:uid="{00000000-0005-0000-0000-000024040000}"/>
    <cellStyle name="Normal 7 13" xfId="1125" xr:uid="{00000000-0005-0000-0000-000025040000}"/>
    <cellStyle name="Normal 7 14" xfId="1126" xr:uid="{00000000-0005-0000-0000-000026040000}"/>
    <cellStyle name="Normal 7 15" xfId="1127" xr:uid="{00000000-0005-0000-0000-000027040000}"/>
    <cellStyle name="Normal 7 16" xfId="1128" xr:uid="{00000000-0005-0000-0000-000028040000}"/>
    <cellStyle name="Normal 7 17" xfId="1129" xr:uid="{00000000-0005-0000-0000-000029040000}"/>
    <cellStyle name="Normal 7 18" xfId="1130" xr:uid="{00000000-0005-0000-0000-00002A040000}"/>
    <cellStyle name="Normal 7 19" xfId="1131" xr:uid="{00000000-0005-0000-0000-00002B040000}"/>
    <cellStyle name="Normal 7 2" xfId="1132" xr:uid="{00000000-0005-0000-0000-00002C040000}"/>
    <cellStyle name="Normal 7 20" xfId="1133" xr:uid="{00000000-0005-0000-0000-00002D040000}"/>
    <cellStyle name="Normal 7 21" xfId="1134" xr:uid="{00000000-0005-0000-0000-00002E040000}"/>
    <cellStyle name="Normal 7 22" xfId="1135" xr:uid="{00000000-0005-0000-0000-00002F040000}"/>
    <cellStyle name="Normal 7 23" xfId="1136" xr:uid="{00000000-0005-0000-0000-000030040000}"/>
    <cellStyle name="Normal 7 24" xfId="1137" xr:uid="{00000000-0005-0000-0000-000031040000}"/>
    <cellStyle name="Normal 7 25" xfId="1138" xr:uid="{00000000-0005-0000-0000-000032040000}"/>
    <cellStyle name="Normal 7 25 10" xfId="1139" xr:uid="{00000000-0005-0000-0000-000033040000}"/>
    <cellStyle name="Normal 7 25 2" xfId="1140" xr:uid="{00000000-0005-0000-0000-000034040000}"/>
    <cellStyle name="Normal 7 25 3" xfId="1141" xr:uid="{00000000-0005-0000-0000-000035040000}"/>
    <cellStyle name="Normal 7 25 4" xfId="1142" xr:uid="{00000000-0005-0000-0000-000036040000}"/>
    <cellStyle name="Normal 7 25 4 2" xfId="1143" xr:uid="{00000000-0005-0000-0000-000037040000}"/>
    <cellStyle name="Normal 7 25 5" xfId="1144" xr:uid="{00000000-0005-0000-0000-000038040000}"/>
    <cellStyle name="Normal 7 25 5 2" xfId="1145" xr:uid="{00000000-0005-0000-0000-000039040000}"/>
    <cellStyle name="Normal 7 25 6" xfId="1146" xr:uid="{00000000-0005-0000-0000-00003A040000}"/>
    <cellStyle name="Normal 7 25 6 2" xfId="1147" xr:uid="{00000000-0005-0000-0000-00003B040000}"/>
    <cellStyle name="Normal 7 25 7" xfId="1148" xr:uid="{00000000-0005-0000-0000-00003C040000}"/>
    <cellStyle name="Normal 7 25 7 2" xfId="1149" xr:uid="{00000000-0005-0000-0000-00003D040000}"/>
    <cellStyle name="Normal 7 25 8" xfId="1150" xr:uid="{00000000-0005-0000-0000-00003E040000}"/>
    <cellStyle name="Normal 7 25 8 2" xfId="1151" xr:uid="{00000000-0005-0000-0000-00003F040000}"/>
    <cellStyle name="Normal 7 25 9" xfId="1152" xr:uid="{00000000-0005-0000-0000-000040040000}"/>
    <cellStyle name="Normal 7 25 9 2" xfId="1153" xr:uid="{00000000-0005-0000-0000-000041040000}"/>
    <cellStyle name="Normal 7 26" xfId="1154" xr:uid="{00000000-0005-0000-0000-000042040000}"/>
    <cellStyle name="Normal 7 26 2" xfId="1155" xr:uid="{00000000-0005-0000-0000-000043040000}"/>
    <cellStyle name="Normal 7 26 2 2" xfId="1156" xr:uid="{00000000-0005-0000-0000-000044040000}"/>
    <cellStyle name="Normal 7 26 3" xfId="1157" xr:uid="{00000000-0005-0000-0000-000045040000}"/>
    <cellStyle name="Normal 7 26 3 2" xfId="1158" xr:uid="{00000000-0005-0000-0000-000046040000}"/>
    <cellStyle name="Normal 7 26 4" xfId="1159" xr:uid="{00000000-0005-0000-0000-000047040000}"/>
    <cellStyle name="Normal 7 26 4 2" xfId="1160" xr:uid="{00000000-0005-0000-0000-000048040000}"/>
    <cellStyle name="Normal 7 26 5" xfId="1161" xr:uid="{00000000-0005-0000-0000-000049040000}"/>
    <cellStyle name="Normal 7 26 5 2" xfId="1162" xr:uid="{00000000-0005-0000-0000-00004A040000}"/>
    <cellStyle name="Normal 7 26 6" xfId="1163" xr:uid="{00000000-0005-0000-0000-00004B040000}"/>
    <cellStyle name="Normal 7 26 6 2" xfId="1164" xr:uid="{00000000-0005-0000-0000-00004C040000}"/>
    <cellStyle name="Normal 7 26 7" xfId="1165" xr:uid="{00000000-0005-0000-0000-00004D040000}"/>
    <cellStyle name="Normal 7 26 7 2" xfId="1166" xr:uid="{00000000-0005-0000-0000-00004E040000}"/>
    <cellStyle name="Normal 7 26 8" xfId="1167" xr:uid="{00000000-0005-0000-0000-00004F040000}"/>
    <cellStyle name="Normal 7 27" xfId="1168" xr:uid="{00000000-0005-0000-0000-000050040000}"/>
    <cellStyle name="Normal 7 27 2" xfId="1169" xr:uid="{00000000-0005-0000-0000-000051040000}"/>
    <cellStyle name="Normal 7 28" xfId="1170" xr:uid="{00000000-0005-0000-0000-000052040000}"/>
    <cellStyle name="Normal 7 28 2" xfId="1171" xr:uid="{00000000-0005-0000-0000-000053040000}"/>
    <cellStyle name="Normal 7 29" xfId="1172" xr:uid="{00000000-0005-0000-0000-000054040000}"/>
    <cellStyle name="Normal 7 29 2" xfId="1173" xr:uid="{00000000-0005-0000-0000-000055040000}"/>
    <cellStyle name="Normal 7 3" xfId="1174" xr:uid="{00000000-0005-0000-0000-000056040000}"/>
    <cellStyle name="Normal 7 3 2" xfId="1175" xr:uid="{00000000-0005-0000-0000-000057040000}"/>
    <cellStyle name="Normal 7 3 2 10" xfId="1176" xr:uid="{00000000-0005-0000-0000-000058040000}"/>
    <cellStyle name="Normal 7 3 2 10 2" xfId="1177" xr:uid="{00000000-0005-0000-0000-000059040000}"/>
    <cellStyle name="Normal 7 3 2 11" xfId="1178" xr:uid="{00000000-0005-0000-0000-00005A040000}"/>
    <cellStyle name="Normal 7 3 2 2" xfId="1179" xr:uid="{00000000-0005-0000-0000-00005B040000}"/>
    <cellStyle name="Normal 7 3 2 3" xfId="1180" xr:uid="{00000000-0005-0000-0000-00005C040000}"/>
    <cellStyle name="Normal 7 3 2 4" xfId="1181" xr:uid="{00000000-0005-0000-0000-00005D040000}"/>
    <cellStyle name="Normal 7 3 2 5" xfId="1182" xr:uid="{00000000-0005-0000-0000-00005E040000}"/>
    <cellStyle name="Normal 7 3 2 5 2" xfId="1183" xr:uid="{00000000-0005-0000-0000-00005F040000}"/>
    <cellStyle name="Normal 7 3 2 6" xfId="1184" xr:uid="{00000000-0005-0000-0000-000060040000}"/>
    <cellStyle name="Normal 7 3 2 6 2" xfId="1185" xr:uid="{00000000-0005-0000-0000-000061040000}"/>
    <cellStyle name="Normal 7 3 2 7" xfId="1186" xr:uid="{00000000-0005-0000-0000-000062040000}"/>
    <cellStyle name="Normal 7 3 2 7 2" xfId="1187" xr:uid="{00000000-0005-0000-0000-000063040000}"/>
    <cellStyle name="Normal 7 3 2 8" xfId="1188" xr:uid="{00000000-0005-0000-0000-000064040000}"/>
    <cellStyle name="Normal 7 3 2 8 2" xfId="1189" xr:uid="{00000000-0005-0000-0000-000065040000}"/>
    <cellStyle name="Normal 7 3 2 9" xfId="1190" xr:uid="{00000000-0005-0000-0000-000066040000}"/>
    <cellStyle name="Normal 7 3 2 9 2" xfId="1191" xr:uid="{00000000-0005-0000-0000-000067040000}"/>
    <cellStyle name="Normal 7 3 3" xfId="1192" xr:uid="{00000000-0005-0000-0000-000068040000}"/>
    <cellStyle name="Normal 7 3 4" xfId="1193" xr:uid="{00000000-0005-0000-0000-000069040000}"/>
    <cellStyle name="Normal 7 3 4 2" xfId="1194" xr:uid="{00000000-0005-0000-0000-00006A040000}"/>
    <cellStyle name="Normal 7 3 4 2 2" xfId="1195" xr:uid="{00000000-0005-0000-0000-00006B040000}"/>
    <cellStyle name="Normal 7 3 4 3" xfId="1196" xr:uid="{00000000-0005-0000-0000-00006C040000}"/>
    <cellStyle name="Normal 7 3 4 3 2" xfId="1197" xr:uid="{00000000-0005-0000-0000-00006D040000}"/>
    <cellStyle name="Normal 7 3 4 4" xfId="1198" xr:uid="{00000000-0005-0000-0000-00006E040000}"/>
    <cellStyle name="Normal 7 3 4 4 2" xfId="1199" xr:uid="{00000000-0005-0000-0000-00006F040000}"/>
    <cellStyle name="Normal 7 3 4 5" xfId="1200" xr:uid="{00000000-0005-0000-0000-000070040000}"/>
    <cellStyle name="Normal 7 3 4 5 2" xfId="1201" xr:uid="{00000000-0005-0000-0000-000071040000}"/>
    <cellStyle name="Normal 7 3 4 6" xfId="1202" xr:uid="{00000000-0005-0000-0000-000072040000}"/>
    <cellStyle name="Normal 7 3 4 6 2" xfId="1203" xr:uid="{00000000-0005-0000-0000-000073040000}"/>
    <cellStyle name="Normal 7 3 4 7" xfId="1204" xr:uid="{00000000-0005-0000-0000-000074040000}"/>
    <cellStyle name="Normal 7 3 4 7 2" xfId="1205" xr:uid="{00000000-0005-0000-0000-000075040000}"/>
    <cellStyle name="Normal 7 3 4 8" xfId="1206" xr:uid="{00000000-0005-0000-0000-000076040000}"/>
    <cellStyle name="Normal 7 3 5" xfId="1207" xr:uid="{00000000-0005-0000-0000-000077040000}"/>
    <cellStyle name="Normal 7 3 5 2" xfId="1208" xr:uid="{00000000-0005-0000-0000-000078040000}"/>
    <cellStyle name="Normal 7 3 5 2 2" xfId="1209" xr:uid="{00000000-0005-0000-0000-000079040000}"/>
    <cellStyle name="Normal 7 3 5 3" xfId="1210" xr:uid="{00000000-0005-0000-0000-00007A040000}"/>
    <cellStyle name="Normal 7 3 5 3 2" xfId="1211" xr:uid="{00000000-0005-0000-0000-00007B040000}"/>
    <cellStyle name="Normal 7 3 5 4" xfId="1212" xr:uid="{00000000-0005-0000-0000-00007C040000}"/>
    <cellStyle name="Normal 7 3 5 4 2" xfId="1213" xr:uid="{00000000-0005-0000-0000-00007D040000}"/>
    <cellStyle name="Normal 7 3 5 5" xfId="1214" xr:uid="{00000000-0005-0000-0000-00007E040000}"/>
    <cellStyle name="Normal 7 3 5 5 2" xfId="1215" xr:uid="{00000000-0005-0000-0000-00007F040000}"/>
    <cellStyle name="Normal 7 3 5 6" xfId="1216" xr:uid="{00000000-0005-0000-0000-000080040000}"/>
    <cellStyle name="Normal 7 3 5 6 2" xfId="1217" xr:uid="{00000000-0005-0000-0000-000081040000}"/>
    <cellStyle name="Normal 7 3 5 7" xfId="1218" xr:uid="{00000000-0005-0000-0000-000082040000}"/>
    <cellStyle name="Normal 7 3 5 7 2" xfId="1219" xr:uid="{00000000-0005-0000-0000-000083040000}"/>
    <cellStyle name="Normal 7 3 5 8" xfId="1220" xr:uid="{00000000-0005-0000-0000-000084040000}"/>
    <cellStyle name="Normal 7 30" xfId="1221" xr:uid="{00000000-0005-0000-0000-000085040000}"/>
    <cellStyle name="Normal 7 30 2" xfId="1222" xr:uid="{00000000-0005-0000-0000-000086040000}"/>
    <cellStyle name="Normal 7 31" xfId="1223" xr:uid="{00000000-0005-0000-0000-000087040000}"/>
    <cellStyle name="Normal 7 31 2" xfId="1224" xr:uid="{00000000-0005-0000-0000-000088040000}"/>
    <cellStyle name="Normal 7 32" xfId="1225" xr:uid="{00000000-0005-0000-0000-000089040000}"/>
    <cellStyle name="Normal 7 32 2" xfId="1226" xr:uid="{00000000-0005-0000-0000-00008A040000}"/>
    <cellStyle name="Normal 7 33" xfId="1227" xr:uid="{00000000-0005-0000-0000-00008B040000}"/>
    <cellStyle name="Normal 7 4" xfId="1228" xr:uid="{00000000-0005-0000-0000-00008C040000}"/>
    <cellStyle name="Normal 7 5" xfId="1229" xr:uid="{00000000-0005-0000-0000-00008D040000}"/>
    <cellStyle name="Normal 7 6" xfId="1230" xr:uid="{00000000-0005-0000-0000-00008E040000}"/>
    <cellStyle name="Normal 7 7" xfId="1231" xr:uid="{00000000-0005-0000-0000-00008F040000}"/>
    <cellStyle name="Normal 7 8" xfId="1232" xr:uid="{00000000-0005-0000-0000-000090040000}"/>
    <cellStyle name="Normal 7 9" xfId="1233" xr:uid="{00000000-0005-0000-0000-000091040000}"/>
    <cellStyle name="Normal 8" xfId="149" xr:uid="{00000000-0005-0000-0000-000092040000}"/>
    <cellStyle name="Normal 8 2" xfId="1234" xr:uid="{00000000-0005-0000-0000-000093040000}"/>
    <cellStyle name="Normal 8 3" xfId="1235" xr:uid="{00000000-0005-0000-0000-000094040000}"/>
    <cellStyle name="Normal 8 4" xfId="1236" xr:uid="{00000000-0005-0000-0000-000095040000}"/>
    <cellStyle name="Normal 8 5" xfId="1237" xr:uid="{00000000-0005-0000-0000-000096040000}"/>
    <cellStyle name="Normal 8 6" xfId="1238" xr:uid="{00000000-0005-0000-0000-000097040000}"/>
    <cellStyle name="Normal 8 7" xfId="1239" xr:uid="{00000000-0005-0000-0000-000098040000}"/>
    <cellStyle name="Normal 9" xfId="150" xr:uid="{00000000-0005-0000-0000-000099040000}"/>
    <cellStyle name="Normal 9 2" xfId="1240" xr:uid="{00000000-0005-0000-0000-00009A040000}"/>
    <cellStyle name="Normal 9 2 2" xfId="1241" xr:uid="{00000000-0005-0000-0000-00009B040000}"/>
    <cellStyle name="Normal 9 2 2 2" xfId="1242" xr:uid="{00000000-0005-0000-0000-00009C040000}"/>
    <cellStyle name="Normal 9 2 2 2 2" xfId="1243" xr:uid="{00000000-0005-0000-0000-00009D040000}"/>
    <cellStyle name="Normal 9 2 2 3" xfId="1244" xr:uid="{00000000-0005-0000-0000-00009E040000}"/>
    <cellStyle name="Normal 9 2 2 3 2" xfId="1245" xr:uid="{00000000-0005-0000-0000-00009F040000}"/>
    <cellStyle name="Normal 9 2 2 4" xfId="1246" xr:uid="{00000000-0005-0000-0000-0000A0040000}"/>
    <cellStyle name="Normal 9 2 2 4 2" xfId="1247" xr:uid="{00000000-0005-0000-0000-0000A1040000}"/>
    <cellStyle name="Normal 9 2 2 5" xfId="1248" xr:uid="{00000000-0005-0000-0000-0000A2040000}"/>
    <cellStyle name="Normal 9 2 2 5 2" xfId="1249" xr:uid="{00000000-0005-0000-0000-0000A3040000}"/>
    <cellStyle name="Normal 9 2 2 6" xfId="1250" xr:uid="{00000000-0005-0000-0000-0000A4040000}"/>
    <cellStyle name="Normal 9 2 2 6 2" xfId="1251" xr:uid="{00000000-0005-0000-0000-0000A5040000}"/>
    <cellStyle name="Normal 9 2 2 7" xfId="1252" xr:uid="{00000000-0005-0000-0000-0000A6040000}"/>
    <cellStyle name="Normal 9 2 2 7 2" xfId="1253" xr:uid="{00000000-0005-0000-0000-0000A7040000}"/>
    <cellStyle name="Normal 9 2 2 8" xfId="1254" xr:uid="{00000000-0005-0000-0000-0000A8040000}"/>
    <cellStyle name="Normal 9 2 3" xfId="1255" xr:uid="{00000000-0005-0000-0000-0000A9040000}"/>
    <cellStyle name="Normal 9 2 3 2" xfId="1256" xr:uid="{00000000-0005-0000-0000-0000AA040000}"/>
    <cellStyle name="Normal 9 2 3 2 2" xfId="1257" xr:uid="{00000000-0005-0000-0000-0000AB040000}"/>
    <cellStyle name="Normal 9 2 3 3" xfId="1258" xr:uid="{00000000-0005-0000-0000-0000AC040000}"/>
    <cellStyle name="Normal 9 2 3 3 2" xfId="1259" xr:uid="{00000000-0005-0000-0000-0000AD040000}"/>
    <cellStyle name="Normal 9 2 3 4" xfId="1260" xr:uid="{00000000-0005-0000-0000-0000AE040000}"/>
    <cellStyle name="Normal 9 2 3 4 2" xfId="1261" xr:uid="{00000000-0005-0000-0000-0000AF040000}"/>
    <cellStyle name="Normal 9 2 3 5" xfId="1262" xr:uid="{00000000-0005-0000-0000-0000B0040000}"/>
    <cellStyle name="Normal 9 2 3 5 2" xfId="1263" xr:uid="{00000000-0005-0000-0000-0000B1040000}"/>
    <cellStyle name="Normal 9 2 3 6" xfId="1264" xr:uid="{00000000-0005-0000-0000-0000B2040000}"/>
    <cellStyle name="Normal 9 2 3 6 2" xfId="1265" xr:uid="{00000000-0005-0000-0000-0000B3040000}"/>
    <cellStyle name="Normal 9 2 3 7" xfId="1266" xr:uid="{00000000-0005-0000-0000-0000B4040000}"/>
    <cellStyle name="Normal 9 2 3 7 2" xfId="1267" xr:uid="{00000000-0005-0000-0000-0000B5040000}"/>
    <cellStyle name="Normal 9 2 3 8" xfId="1268" xr:uid="{00000000-0005-0000-0000-0000B6040000}"/>
    <cellStyle name="Normal 9 2 4" xfId="1269" xr:uid="{00000000-0005-0000-0000-0000B7040000}"/>
    <cellStyle name="Normal 9 2 4 2" xfId="1270" xr:uid="{00000000-0005-0000-0000-0000B8040000}"/>
    <cellStyle name="Normal 9 2 4 2 2" xfId="1271" xr:uid="{00000000-0005-0000-0000-0000B9040000}"/>
    <cellStyle name="Normal 9 2 4 3" xfId="1272" xr:uid="{00000000-0005-0000-0000-0000BA040000}"/>
    <cellStyle name="Normal 9 2 4 3 2" xfId="1273" xr:uid="{00000000-0005-0000-0000-0000BB040000}"/>
    <cellStyle name="Normal 9 2 4 4" xfId="1274" xr:uid="{00000000-0005-0000-0000-0000BC040000}"/>
    <cellStyle name="Normal 9 2 4 4 2" xfId="1275" xr:uid="{00000000-0005-0000-0000-0000BD040000}"/>
    <cellStyle name="Normal 9 2 4 5" xfId="1276" xr:uid="{00000000-0005-0000-0000-0000BE040000}"/>
    <cellStyle name="Normal 9 2 4 5 2" xfId="1277" xr:uid="{00000000-0005-0000-0000-0000BF040000}"/>
    <cellStyle name="Normal 9 2 4 6" xfId="1278" xr:uid="{00000000-0005-0000-0000-0000C0040000}"/>
    <cellStyle name="Normal 9 2 4 6 2" xfId="1279" xr:uid="{00000000-0005-0000-0000-0000C1040000}"/>
    <cellStyle name="Normal 9 2 4 7" xfId="1280" xr:uid="{00000000-0005-0000-0000-0000C2040000}"/>
    <cellStyle name="Normal 9 2 4 7 2" xfId="1281" xr:uid="{00000000-0005-0000-0000-0000C3040000}"/>
    <cellStyle name="Normal 9 2 4 8" xfId="1282" xr:uid="{00000000-0005-0000-0000-0000C4040000}"/>
    <cellStyle name="Normal 9 2 5" xfId="1283" xr:uid="{00000000-0005-0000-0000-0000C5040000}"/>
    <cellStyle name="Normal 9 2 5 2" xfId="1284" xr:uid="{00000000-0005-0000-0000-0000C6040000}"/>
    <cellStyle name="Normal 9 2 5 2 2" xfId="1285" xr:uid="{00000000-0005-0000-0000-0000C7040000}"/>
    <cellStyle name="Normal 9 2 5 3" xfId="1286" xr:uid="{00000000-0005-0000-0000-0000C8040000}"/>
    <cellStyle name="Normal 9 2 5 3 2" xfId="1287" xr:uid="{00000000-0005-0000-0000-0000C9040000}"/>
    <cellStyle name="Normal 9 2 5 4" xfId="1288" xr:uid="{00000000-0005-0000-0000-0000CA040000}"/>
    <cellStyle name="Normal 9 2 5 4 2" xfId="1289" xr:uid="{00000000-0005-0000-0000-0000CB040000}"/>
    <cellStyle name="Normal 9 2 5 5" xfId="1290" xr:uid="{00000000-0005-0000-0000-0000CC040000}"/>
    <cellStyle name="Normal 9 2 5 5 2" xfId="1291" xr:uid="{00000000-0005-0000-0000-0000CD040000}"/>
    <cellStyle name="Normal 9 2 5 6" xfId="1292" xr:uid="{00000000-0005-0000-0000-0000CE040000}"/>
    <cellStyle name="Normal 9 2 5 6 2" xfId="1293" xr:uid="{00000000-0005-0000-0000-0000CF040000}"/>
    <cellStyle name="Normal 9 2 5 7" xfId="1294" xr:uid="{00000000-0005-0000-0000-0000D0040000}"/>
    <cellStyle name="Normal 9 2 5 7 2" xfId="1295" xr:uid="{00000000-0005-0000-0000-0000D1040000}"/>
    <cellStyle name="Normal 9 2 5 8" xfId="1296" xr:uid="{00000000-0005-0000-0000-0000D2040000}"/>
    <cellStyle name="Normal 9 2 6" xfId="1297" xr:uid="{00000000-0005-0000-0000-0000D3040000}"/>
    <cellStyle name="Normal 9 2 6 2" xfId="1298" xr:uid="{00000000-0005-0000-0000-0000D4040000}"/>
    <cellStyle name="Normal 9 2 6 2 2" xfId="1299" xr:uid="{00000000-0005-0000-0000-0000D5040000}"/>
    <cellStyle name="Normal 9 2 6 3" xfId="1300" xr:uid="{00000000-0005-0000-0000-0000D6040000}"/>
    <cellStyle name="Normal 9 2 6 3 2" xfId="1301" xr:uid="{00000000-0005-0000-0000-0000D7040000}"/>
    <cellStyle name="Normal 9 2 6 4" xfId="1302" xr:uid="{00000000-0005-0000-0000-0000D8040000}"/>
    <cellStyle name="Normal 9 2 6 4 2" xfId="1303" xr:uid="{00000000-0005-0000-0000-0000D9040000}"/>
    <cellStyle name="Normal 9 2 6 5" xfId="1304" xr:uid="{00000000-0005-0000-0000-0000DA040000}"/>
    <cellStyle name="Normal 9 2 6 5 2" xfId="1305" xr:uid="{00000000-0005-0000-0000-0000DB040000}"/>
    <cellStyle name="Normal 9 2 6 6" xfId="1306" xr:uid="{00000000-0005-0000-0000-0000DC040000}"/>
    <cellStyle name="Normal 9 2 6 6 2" xfId="1307" xr:uid="{00000000-0005-0000-0000-0000DD040000}"/>
    <cellStyle name="Normal 9 2 6 7" xfId="1308" xr:uid="{00000000-0005-0000-0000-0000DE040000}"/>
    <cellStyle name="Normal 9 2 6 7 2" xfId="1309" xr:uid="{00000000-0005-0000-0000-0000DF040000}"/>
    <cellStyle name="Normal 9 2 6 8" xfId="1310" xr:uid="{00000000-0005-0000-0000-0000E0040000}"/>
    <cellStyle name="Normal 9 3" xfId="1311" xr:uid="{00000000-0005-0000-0000-0000E1040000}"/>
    <cellStyle name="Normal 9 3 2" xfId="1312" xr:uid="{00000000-0005-0000-0000-0000E2040000}"/>
    <cellStyle name="Normal 9 3 2 2" xfId="1313" xr:uid="{00000000-0005-0000-0000-0000E3040000}"/>
    <cellStyle name="Normal 9 3 3" xfId="1314" xr:uid="{00000000-0005-0000-0000-0000E4040000}"/>
    <cellStyle name="Normal 9 3 3 2" xfId="1315" xr:uid="{00000000-0005-0000-0000-0000E5040000}"/>
    <cellStyle name="Normal 9 3 4" xfId="1316" xr:uid="{00000000-0005-0000-0000-0000E6040000}"/>
    <cellStyle name="Normal 9 3 4 2" xfId="1317" xr:uid="{00000000-0005-0000-0000-0000E7040000}"/>
    <cellStyle name="Normal 9 3 5" xfId="1318" xr:uid="{00000000-0005-0000-0000-0000E8040000}"/>
    <cellStyle name="Normal 9 3 5 2" xfId="1319" xr:uid="{00000000-0005-0000-0000-0000E9040000}"/>
    <cellStyle name="Normal 9 3 6" xfId="1320" xr:uid="{00000000-0005-0000-0000-0000EA040000}"/>
    <cellStyle name="Normal 9 3 6 2" xfId="1321" xr:uid="{00000000-0005-0000-0000-0000EB040000}"/>
    <cellStyle name="Normal 9 3 7" xfId="1322" xr:uid="{00000000-0005-0000-0000-0000EC040000}"/>
    <cellStyle name="Normal 9 3 7 2" xfId="1323" xr:uid="{00000000-0005-0000-0000-0000ED040000}"/>
    <cellStyle name="Normal 9 3 8" xfId="1324" xr:uid="{00000000-0005-0000-0000-0000EE040000}"/>
    <cellStyle name="Normal 9 4" xfId="1325" xr:uid="{00000000-0005-0000-0000-0000EF040000}"/>
    <cellStyle name="Normal 9 5" xfId="1326" xr:uid="{00000000-0005-0000-0000-0000F0040000}"/>
    <cellStyle name="Normal 9 6" xfId="1327" xr:uid="{00000000-0005-0000-0000-0000F1040000}"/>
    <cellStyle name="Normal 9 7" xfId="1328" xr:uid="{00000000-0005-0000-0000-0000F2040000}"/>
    <cellStyle name="Normal 9 8" xfId="1329" xr:uid="{00000000-0005-0000-0000-0000F3040000}"/>
    <cellStyle name="Note 2" xfId="151" xr:uid="{00000000-0005-0000-0000-0000F4040000}"/>
    <cellStyle name="Note 2 10" xfId="1330" xr:uid="{00000000-0005-0000-0000-0000F5040000}"/>
    <cellStyle name="Note 2 10 2" xfId="1331" xr:uid="{00000000-0005-0000-0000-0000F6040000}"/>
    <cellStyle name="Note 2 11" xfId="1332" xr:uid="{00000000-0005-0000-0000-0000F7040000}"/>
    <cellStyle name="Note 2 11 2" xfId="1333" xr:uid="{00000000-0005-0000-0000-0000F8040000}"/>
    <cellStyle name="Note 2 12" xfId="1334" xr:uid="{00000000-0005-0000-0000-0000F9040000}"/>
    <cellStyle name="Note 2 12 2" xfId="1335" xr:uid="{00000000-0005-0000-0000-0000FA040000}"/>
    <cellStyle name="Note 2 13" xfId="1336" xr:uid="{00000000-0005-0000-0000-0000FB040000}"/>
    <cellStyle name="Note 2 13 2" xfId="1337" xr:uid="{00000000-0005-0000-0000-0000FC040000}"/>
    <cellStyle name="Note 2 14" xfId="1338" xr:uid="{00000000-0005-0000-0000-0000FD040000}"/>
    <cellStyle name="Note 2 14 2" xfId="1339" xr:uid="{00000000-0005-0000-0000-0000FE040000}"/>
    <cellStyle name="Note 2 15" xfId="1340" xr:uid="{00000000-0005-0000-0000-0000FF040000}"/>
    <cellStyle name="Note 2 15 2" xfId="1341" xr:uid="{00000000-0005-0000-0000-000000050000}"/>
    <cellStyle name="Note 2 16" xfId="1342" xr:uid="{00000000-0005-0000-0000-000001050000}"/>
    <cellStyle name="Note 2 16 2" xfId="1343" xr:uid="{00000000-0005-0000-0000-000002050000}"/>
    <cellStyle name="Note 2 17" xfId="1344" xr:uid="{00000000-0005-0000-0000-000003050000}"/>
    <cellStyle name="Note 2 17 2" xfId="1345" xr:uid="{00000000-0005-0000-0000-000004050000}"/>
    <cellStyle name="Note 2 18" xfId="1346" xr:uid="{00000000-0005-0000-0000-000005050000}"/>
    <cellStyle name="Note 2 18 2" xfId="1347" xr:uid="{00000000-0005-0000-0000-000006050000}"/>
    <cellStyle name="Note 2 19" xfId="1348" xr:uid="{00000000-0005-0000-0000-000007050000}"/>
    <cellStyle name="Note 2 2" xfId="1349" xr:uid="{00000000-0005-0000-0000-000008050000}"/>
    <cellStyle name="Note 2 2 2" xfId="1350" xr:uid="{00000000-0005-0000-0000-000009050000}"/>
    <cellStyle name="Note 2 3" xfId="1351" xr:uid="{00000000-0005-0000-0000-00000A050000}"/>
    <cellStyle name="Note 2 3 2" xfId="1352" xr:uid="{00000000-0005-0000-0000-00000B050000}"/>
    <cellStyle name="Note 2 4" xfId="1353" xr:uid="{00000000-0005-0000-0000-00000C050000}"/>
    <cellStyle name="Note 2 4 2" xfId="1354" xr:uid="{00000000-0005-0000-0000-00000D050000}"/>
    <cellStyle name="Note 2 5" xfId="1355" xr:uid="{00000000-0005-0000-0000-00000E050000}"/>
    <cellStyle name="Note 2 5 2" xfId="1356" xr:uid="{00000000-0005-0000-0000-00000F050000}"/>
    <cellStyle name="Note 2 6" xfId="1357" xr:uid="{00000000-0005-0000-0000-000010050000}"/>
    <cellStyle name="Note 2 6 2" xfId="1358" xr:uid="{00000000-0005-0000-0000-000011050000}"/>
    <cellStyle name="Note 2 7" xfId="1359" xr:uid="{00000000-0005-0000-0000-000012050000}"/>
    <cellStyle name="Note 2 7 2" xfId="1360" xr:uid="{00000000-0005-0000-0000-000013050000}"/>
    <cellStyle name="Note 2 8" xfId="1361" xr:uid="{00000000-0005-0000-0000-000014050000}"/>
    <cellStyle name="Note 2 8 2" xfId="1362" xr:uid="{00000000-0005-0000-0000-000015050000}"/>
    <cellStyle name="Note 2 9" xfId="1363" xr:uid="{00000000-0005-0000-0000-000016050000}"/>
    <cellStyle name="Note 2 9 2" xfId="1364" xr:uid="{00000000-0005-0000-0000-000017050000}"/>
    <cellStyle name="Note 3" xfId="152" xr:uid="{00000000-0005-0000-0000-000018050000}"/>
    <cellStyle name="Note 3 10" xfId="1365" xr:uid="{00000000-0005-0000-0000-000019050000}"/>
    <cellStyle name="Note 3 10 2" xfId="1366" xr:uid="{00000000-0005-0000-0000-00001A050000}"/>
    <cellStyle name="Note 3 11" xfId="1367" xr:uid="{00000000-0005-0000-0000-00001B050000}"/>
    <cellStyle name="Note 3 11 2" xfId="1368" xr:uid="{00000000-0005-0000-0000-00001C050000}"/>
    <cellStyle name="Note 3 12" xfId="1369" xr:uid="{00000000-0005-0000-0000-00001D050000}"/>
    <cellStyle name="Note 3 12 2" xfId="1370" xr:uid="{00000000-0005-0000-0000-00001E050000}"/>
    <cellStyle name="Note 3 13" xfId="1371" xr:uid="{00000000-0005-0000-0000-00001F050000}"/>
    <cellStyle name="Note 3 13 2" xfId="1372" xr:uid="{00000000-0005-0000-0000-000020050000}"/>
    <cellStyle name="Note 3 14" xfId="1373" xr:uid="{00000000-0005-0000-0000-000021050000}"/>
    <cellStyle name="Note 3 14 2" xfId="1374" xr:uid="{00000000-0005-0000-0000-000022050000}"/>
    <cellStyle name="Note 3 15" xfId="1375" xr:uid="{00000000-0005-0000-0000-000023050000}"/>
    <cellStyle name="Note 3 15 2" xfId="1376" xr:uid="{00000000-0005-0000-0000-000024050000}"/>
    <cellStyle name="Note 3 16" xfId="1377" xr:uid="{00000000-0005-0000-0000-000025050000}"/>
    <cellStyle name="Note 3 16 2" xfId="1378" xr:uid="{00000000-0005-0000-0000-000026050000}"/>
    <cellStyle name="Note 3 17" xfId="1379" xr:uid="{00000000-0005-0000-0000-000027050000}"/>
    <cellStyle name="Note 3 17 2" xfId="1380" xr:uid="{00000000-0005-0000-0000-000028050000}"/>
    <cellStyle name="Note 3 18" xfId="1381" xr:uid="{00000000-0005-0000-0000-000029050000}"/>
    <cellStyle name="Note 3 2" xfId="1382" xr:uid="{00000000-0005-0000-0000-00002A050000}"/>
    <cellStyle name="Note 3 2 2" xfId="1383" xr:uid="{00000000-0005-0000-0000-00002B050000}"/>
    <cellStyle name="Note 3 3" xfId="1384" xr:uid="{00000000-0005-0000-0000-00002C050000}"/>
    <cellStyle name="Note 3 3 2" xfId="1385" xr:uid="{00000000-0005-0000-0000-00002D050000}"/>
    <cellStyle name="Note 3 4" xfId="1386" xr:uid="{00000000-0005-0000-0000-00002E050000}"/>
    <cellStyle name="Note 3 4 2" xfId="1387" xr:uid="{00000000-0005-0000-0000-00002F050000}"/>
    <cellStyle name="Note 3 5" xfId="1388" xr:uid="{00000000-0005-0000-0000-000030050000}"/>
    <cellStyle name="Note 3 5 2" xfId="1389" xr:uid="{00000000-0005-0000-0000-000031050000}"/>
    <cellStyle name="Note 3 6" xfId="1390" xr:uid="{00000000-0005-0000-0000-000032050000}"/>
    <cellStyle name="Note 3 6 2" xfId="1391" xr:uid="{00000000-0005-0000-0000-000033050000}"/>
    <cellStyle name="Note 3 7" xfId="1392" xr:uid="{00000000-0005-0000-0000-000034050000}"/>
    <cellStyle name="Note 3 7 2" xfId="1393" xr:uid="{00000000-0005-0000-0000-000035050000}"/>
    <cellStyle name="Note 3 8" xfId="1394" xr:uid="{00000000-0005-0000-0000-000036050000}"/>
    <cellStyle name="Note 3 8 2" xfId="1395" xr:uid="{00000000-0005-0000-0000-000037050000}"/>
    <cellStyle name="Note 3 9" xfId="1396" xr:uid="{00000000-0005-0000-0000-000038050000}"/>
    <cellStyle name="Note 3 9 2" xfId="1397" xr:uid="{00000000-0005-0000-0000-000039050000}"/>
    <cellStyle name="Note 4" xfId="153" xr:uid="{00000000-0005-0000-0000-00003A050000}"/>
    <cellStyle name="Note 4 10" xfId="1398" xr:uid="{00000000-0005-0000-0000-00003B050000}"/>
    <cellStyle name="Note 4 10 2" xfId="1399" xr:uid="{00000000-0005-0000-0000-00003C050000}"/>
    <cellStyle name="Note 4 11" xfId="1400" xr:uid="{00000000-0005-0000-0000-00003D050000}"/>
    <cellStyle name="Note 4 11 2" xfId="1401" xr:uid="{00000000-0005-0000-0000-00003E050000}"/>
    <cellStyle name="Note 4 12" xfId="1402" xr:uid="{00000000-0005-0000-0000-00003F050000}"/>
    <cellStyle name="Note 4 12 2" xfId="1403" xr:uid="{00000000-0005-0000-0000-000040050000}"/>
    <cellStyle name="Note 4 13" xfId="1404" xr:uid="{00000000-0005-0000-0000-000041050000}"/>
    <cellStyle name="Note 4 13 2" xfId="1405" xr:uid="{00000000-0005-0000-0000-000042050000}"/>
    <cellStyle name="Note 4 14" xfId="1406" xr:uid="{00000000-0005-0000-0000-000043050000}"/>
    <cellStyle name="Note 4 14 2" xfId="1407" xr:uid="{00000000-0005-0000-0000-000044050000}"/>
    <cellStyle name="Note 4 15" xfId="1408" xr:uid="{00000000-0005-0000-0000-000045050000}"/>
    <cellStyle name="Note 4 15 2" xfId="1409" xr:uid="{00000000-0005-0000-0000-000046050000}"/>
    <cellStyle name="Note 4 16" xfId="1410" xr:uid="{00000000-0005-0000-0000-000047050000}"/>
    <cellStyle name="Note 4 16 2" xfId="1411" xr:uid="{00000000-0005-0000-0000-000048050000}"/>
    <cellStyle name="Note 4 17" xfId="1412" xr:uid="{00000000-0005-0000-0000-000049050000}"/>
    <cellStyle name="Note 4 17 2" xfId="1413" xr:uid="{00000000-0005-0000-0000-00004A050000}"/>
    <cellStyle name="Note 4 18" xfId="1414" xr:uid="{00000000-0005-0000-0000-00004B050000}"/>
    <cellStyle name="Note 4 2" xfId="1415" xr:uid="{00000000-0005-0000-0000-00004C050000}"/>
    <cellStyle name="Note 4 2 2" xfId="1416" xr:uid="{00000000-0005-0000-0000-00004D050000}"/>
    <cellStyle name="Note 4 3" xfId="1417" xr:uid="{00000000-0005-0000-0000-00004E050000}"/>
    <cellStyle name="Note 4 3 2" xfId="1418" xr:uid="{00000000-0005-0000-0000-00004F050000}"/>
    <cellStyle name="Note 4 4" xfId="1419" xr:uid="{00000000-0005-0000-0000-000050050000}"/>
    <cellStyle name="Note 4 4 2" xfId="1420" xr:uid="{00000000-0005-0000-0000-000051050000}"/>
    <cellStyle name="Note 4 5" xfId="1421" xr:uid="{00000000-0005-0000-0000-000052050000}"/>
    <cellStyle name="Note 4 5 2" xfId="1422" xr:uid="{00000000-0005-0000-0000-000053050000}"/>
    <cellStyle name="Note 4 6" xfId="1423" xr:uid="{00000000-0005-0000-0000-000054050000}"/>
    <cellStyle name="Note 4 6 2" xfId="1424" xr:uid="{00000000-0005-0000-0000-000055050000}"/>
    <cellStyle name="Note 4 7" xfId="1425" xr:uid="{00000000-0005-0000-0000-000056050000}"/>
    <cellStyle name="Note 4 7 2" xfId="1426" xr:uid="{00000000-0005-0000-0000-000057050000}"/>
    <cellStyle name="Note 4 8" xfId="1427" xr:uid="{00000000-0005-0000-0000-000058050000}"/>
    <cellStyle name="Note 4 8 2" xfId="1428" xr:uid="{00000000-0005-0000-0000-000059050000}"/>
    <cellStyle name="Note 4 9" xfId="1429" xr:uid="{00000000-0005-0000-0000-00005A050000}"/>
    <cellStyle name="Note 4 9 2" xfId="1430" xr:uid="{00000000-0005-0000-0000-00005B050000}"/>
    <cellStyle name="Note 5" xfId="1431" xr:uid="{00000000-0005-0000-0000-00005C050000}"/>
    <cellStyle name="Note 5 2" xfId="1432" xr:uid="{00000000-0005-0000-0000-00005D050000}"/>
    <cellStyle name="Note 6" xfId="1433" xr:uid="{00000000-0005-0000-0000-00005E050000}"/>
    <cellStyle name="Note 6 2" xfId="1434" xr:uid="{00000000-0005-0000-0000-00005F050000}"/>
    <cellStyle name="Note 7" xfId="1435" xr:uid="{00000000-0005-0000-0000-000060050000}"/>
    <cellStyle name="Note 7 2" xfId="1436" xr:uid="{00000000-0005-0000-0000-000061050000}"/>
    <cellStyle name="Note 8" xfId="1437" xr:uid="{00000000-0005-0000-0000-000062050000}"/>
    <cellStyle name="Note 8 2" xfId="1438" xr:uid="{00000000-0005-0000-0000-000063050000}"/>
    <cellStyle name="Note 9" xfId="1439" xr:uid="{00000000-0005-0000-0000-000064050000}"/>
    <cellStyle name="Note 9 2" xfId="1440" xr:uid="{00000000-0005-0000-0000-000065050000}"/>
    <cellStyle name="Number" xfId="154" xr:uid="{00000000-0005-0000-0000-000066050000}"/>
    <cellStyle name="Number 2" xfId="155" xr:uid="{00000000-0005-0000-0000-000067050000}"/>
    <cellStyle name="Number 2 2" xfId="1441" xr:uid="{00000000-0005-0000-0000-000068050000}"/>
    <cellStyle name="Number 2 2 2" xfId="1442" xr:uid="{00000000-0005-0000-0000-000069050000}"/>
    <cellStyle name="Number 2 3" xfId="1443" xr:uid="{00000000-0005-0000-0000-00006A050000}"/>
    <cellStyle name="Number 2 3 2" xfId="1444" xr:uid="{00000000-0005-0000-0000-00006B050000}"/>
    <cellStyle name="Number 2 4" xfId="1445" xr:uid="{00000000-0005-0000-0000-00006C050000}"/>
    <cellStyle name="Number 3" xfId="156" xr:uid="{00000000-0005-0000-0000-00006D050000}"/>
    <cellStyle name="Number 3 2" xfId="1446" xr:uid="{00000000-0005-0000-0000-00006E050000}"/>
    <cellStyle name="Number 3 2 2" xfId="1447" xr:uid="{00000000-0005-0000-0000-00006F050000}"/>
    <cellStyle name="Number 3 3" xfId="1448" xr:uid="{00000000-0005-0000-0000-000070050000}"/>
    <cellStyle name="Number 3 3 2" xfId="1449" xr:uid="{00000000-0005-0000-0000-000071050000}"/>
    <cellStyle name="Number 3 4" xfId="1450" xr:uid="{00000000-0005-0000-0000-000072050000}"/>
    <cellStyle name="Number 4" xfId="157" xr:uid="{00000000-0005-0000-0000-000073050000}"/>
    <cellStyle name="Number 4 2" xfId="1451" xr:uid="{00000000-0005-0000-0000-000074050000}"/>
    <cellStyle name="Number 4 2 2" xfId="1452" xr:uid="{00000000-0005-0000-0000-000075050000}"/>
    <cellStyle name="Number 4 3" xfId="1453" xr:uid="{00000000-0005-0000-0000-000076050000}"/>
    <cellStyle name="Number 4 3 2" xfId="1454" xr:uid="{00000000-0005-0000-0000-000077050000}"/>
    <cellStyle name="Number 4 4" xfId="1455" xr:uid="{00000000-0005-0000-0000-000078050000}"/>
    <cellStyle name="Number 5" xfId="158" xr:uid="{00000000-0005-0000-0000-000079050000}"/>
    <cellStyle name="Number 5 2" xfId="1456" xr:uid="{00000000-0005-0000-0000-00007A050000}"/>
    <cellStyle name="Number 5 2 2" xfId="1457" xr:uid="{00000000-0005-0000-0000-00007B050000}"/>
    <cellStyle name="Number 5 3" xfId="1458" xr:uid="{00000000-0005-0000-0000-00007C050000}"/>
    <cellStyle name="Number 5 3 2" xfId="1459" xr:uid="{00000000-0005-0000-0000-00007D050000}"/>
    <cellStyle name="Number 5 4" xfId="1460" xr:uid="{00000000-0005-0000-0000-00007E050000}"/>
    <cellStyle name="Number 6" xfId="1461" xr:uid="{00000000-0005-0000-0000-00007F050000}"/>
    <cellStyle name="Output 2" xfId="159" xr:uid="{00000000-0005-0000-0000-000080050000}"/>
    <cellStyle name="Output 2 2" xfId="1462" xr:uid="{00000000-0005-0000-0000-000081050000}"/>
    <cellStyle name="Output 2 2 2" xfId="1463" xr:uid="{00000000-0005-0000-0000-000082050000}"/>
    <cellStyle name="Output 2 3" xfId="1464" xr:uid="{00000000-0005-0000-0000-000083050000}"/>
    <cellStyle name="Output 3" xfId="160" xr:uid="{00000000-0005-0000-0000-000084050000}"/>
    <cellStyle name="Output 3 2" xfId="1465" xr:uid="{00000000-0005-0000-0000-000085050000}"/>
    <cellStyle name="Output 4" xfId="161" xr:uid="{00000000-0005-0000-0000-000086050000}"/>
    <cellStyle name="Output 4 2" xfId="1466" xr:uid="{00000000-0005-0000-0000-000087050000}"/>
    <cellStyle name="Output 5" xfId="1467" xr:uid="{00000000-0005-0000-0000-000088050000}"/>
    <cellStyle name="Output 5 2" xfId="1468" xr:uid="{00000000-0005-0000-0000-000089050000}"/>
    <cellStyle name="Output 6" xfId="1469" xr:uid="{00000000-0005-0000-0000-00008A050000}"/>
    <cellStyle name="Output 7" xfId="1470" xr:uid="{00000000-0005-0000-0000-00008B050000}"/>
    <cellStyle name="Output 8" xfId="1471" xr:uid="{00000000-0005-0000-0000-00008C050000}"/>
    <cellStyle name="Output 9" xfId="1472" xr:uid="{00000000-0005-0000-0000-00008D050000}"/>
    <cellStyle name="Percent [2]" xfId="162" xr:uid="{00000000-0005-0000-0000-00008E050000}"/>
    <cellStyle name="Percent [2] 10" xfId="1473" xr:uid="{00000000-0005-0000-0000-00008F050000}"/>
    <cellStyle name="Percent [2] 11" xfId="1474" xr:uid="{00000000-0005-0000-0000-000090050000}"/>
    <cellStyle name="Percent [2] 12" xfId="1475" xr:uid="{00000000-0005-0000-0000-000091050000}"/>
    <cellStyle name="Percent [2] 13" xfId="1476" xr:uid="{00000000-0005-0000-0000-000092050000}"/>
    <cellStyle name="Percent [2] 14" xfId="1477" xr:uid="{00000000-0005-0000-0000-000093050000}"/>
    <cellStyle name="Percent [2] 15" xfId="1478" xr:uid="{00000000-0005-0000-0000-000094050000}"/>
    <cellStyle name="Percent [2] 16" xfId="1479" xr:uid="{00000000-0005-0000-0000-000095050000}"/>
    <cellStyle name="Percent [2] 17" xfId="1480" xr:uid="{00000000-0005-0000-0000-000096050000}"/>
    <cellStyle name="Percent [2] 18" xfId="1481" xr:uid="{00000000-0005-0000-0000-000097050000}"/>
    <cellStyle name="Percent [2] 19" xfId="1482" xr:uid="{00000000-0005-0000-0000-000098050000}"/>
    <cellStyle name="Percent [2] 2" xfId="163" xr:uid="{00000000-0005-0000-0000-000099050000}"/>
    <cellStyle name="Percent [2] 2 10" xfId="1483" xr:uid="{00000000-0005-0000-0000-00009A050000}"/>
    <cellStyle name="Percent [2] 2 11" xfId="1484" xr:uid="{00000000-0005-0000-0000-00009B050000}"/>
    <cellStyle name="Percent [2] 2 12" xfId="1485" xr:uid="{00000000-0005-0000-0000-00009C050000}"/>
    <cellStyle name="Percent [2] 2 13" xfId="1486" xr:uid="{00000000-0005-0000-0000-00009D050000}"/>
    <cellStyle name="Percent [2] 2 14" xfId="1487" xr:uid="{00000000-0005-0000-0000-00009E050000}"/>
    <cellStyle name="Percent [2] 2 15" xfId="1488" xr:uid="{00000000-0005-0000-0000-00009F050000}"/>
    <cellStyle name="Percent [2] 2 16" xfId="1489" xr:uid="{00000000-0005-0000-0000-0000A0050000}"/>
    <cellStyle name="Percent [2] 2 17" xfId="1490" xr:uid="{00000000-0005-0000-0000-0000A1050000}"/>
    <cellStyle name="Percent [2] 2 2" xfId="1491" xr:uid="{00000000-0005-0000-0000-0000A2050000}"/>
    <cellStyle name="Percent [2] 2 3" xfId="1492" xr:uid="{00000000-0005-0000-0000-0000A3050000}"/>
    <cellStyle name="Percent [2] 2 4" xfId="1493" xr:uid="{00000000-0005-0000-0000-0000A4050000}"/>
    <cellStyle name="Percent [2] 2 5" xfId="1494" xr:uid="{00000000-0005-0000-0000-0000A5050000}"/>
    <cellStyle name="Percent [2] 2 6" xfId="1495" xr:uid="{00000000-0005-0000-0000-0000A6050000}"/>
    <cellStyle name="Percent [2] 2 7" xfId="1496" xr:uid="{00000000-0005-0000-0000-0000A7050000}"/>
    <cellStyle name="Percent [2] 2 8" xfId="1497" xr:uid="{00000000-0005-0000-0000-0000A8050000}"/>
    <cellStyle name="Percent [2] 2 9" xfId="1498" xr:uid="{00000000-0005-0000-0000-0000A9050000}"/>
    <cellStyle name="Percent [2] 20" xfId="1499" xr:uid="{00000000-0005-0000-0000-0000AA050000}"/>
    <cellStyle name="Percent [2] 21" xfId="1500" xr:uid="{00000000-0005-0000-0000-0000AB050000}"/>
    <cellStyle name="Percent [2] 22" xfId="1501" xr:uid="{00000000-0005-0000-0000-0000AC050000}"/>
    <cellStyle name="Percent [2] 3" xfId="164" xr:uid="{00000000-0005-0000-0000-0000AD050000}"/>
    <cellStyle name="Percent [2] 3 10" xfId="1502" xr:uid="{00000000-0005-0000-0000-0000AE050000}"/>
    <cellStyle name="Percent [2] 3 11" xfId="1503" xr:uid="{00000000-0005-0000-0000-0000AF050000}"/>
    <cellStyle name="Percent [2] 3 12" xfId="1504" xr:uid="{00000000-0005-0000-0000-0000B0050000}"/>
    <cellStyle name="Percent [2] 3 13" xfId="1505" xr:uid="{00000000-0005-0000-0000-0000B1050000}"/>
    <cellStyle name="Percent [2] 3 14" xfId="1506" xr:uid="{00000000-0005-0000-0000-0000B2050000}"/>
    <cellStyle name="Percent [2] 3 15" xfId="1507" xr:uid="{00000000-0005-0000-0000-0000B3050000}"/>
    <cellStyle name="Percent [2] 3 16" xfId="1508" xr:uid="{00000000-0005-0000-0000-0000B4050000}"/>
    <cellStyle name="Percent [2] 3 17" xfId="1509" xr:uid="{00000000-0005-0000-0000-0000B5050000}"/>
    <cellStyle name="Percent [2] 3 2" xfId="1510" xr:uid="{00000000-0005-0000-0000-0000B6050000}"/>
    <cellStyle name="Percent [2] 3 3" xfId="1511" xr:uid="{00000000-0005-0000-0000-0000B7050000}"/>
    <cellStyle name="Percent [2] 3 4" xfId="1512" xr:uid="{00000000-0005-0000-0000-0000B8050000}"/>
    <cellStyle name="Percent [2] 3 5" xfId="1513" xr:uid="{00000000-0005-0000-0000-0000B9050000}"/>
    <cellStyle name="Percent [2] 3 6" xfId="1514" xr:uid="{00000000-0005-0000-0000-0000BA050000}"/>
    <cellStyle name="Percent [2] 3 7" xfId="1515" xr:uid="{00000000-0005-0000-0000-0000BB050000}"/>
    <cellStyle name="Percent [2] 3 8" xfId="1516" xr:uid="{00000000-0005-0000-0000-0000BC050000}"/>
    <cellStyle name="Percent [2] 3 9" xfId="1517" xr:uid="{00000000-0005-0000-0000-0000BD050000}"/>
    <cellStyle name="Percent [2] 4" xfId="165" xr:uid="{00000000-0005-0000-0000-0000BE050000}"/>
    <cellStyle name="Percent [2] 4 10" xfId="1518" xr:uid="{00000000-0005-0000-0000-0000BF050000}"/>
    <cellStyle name="Percent [2] 4 11" xfId="1519" xr:uid="{00000000-0005-0000-0000-0000C0050000}"/>
    <cellStyle name="Percent [2] 4 12" xfId="1520" xr:uid="{00000000-0005-0000-0000-0000C1050000}"/>
    <cellStyle name="Percent [2] 4 13" xfId="1521" xr:uid="{00000000-0005-0000-0000-0000C2050000}"/>
    <cellStyle name="Percent [2] 4 14" xfId="1522" xr:uid="{00000000-0005-0000-0000-0000C3050000}"/>
    <cellStyle name="Percent [2] 4 15" xfId="1523" xr:uid="{00000000-0005-0000-0000-0000C4050000}"/>
    <cellStyle name="Percent [2] 4 16" xfId="1524" xr:uid="{00000000-0005-0000-0000-0000C5050000}"/>
    <cellStyle name="Percent [2] 4 17" xfId="1525" xr:uid="{00000000-0005-0000-0000-0000C6050000}"/>
    <cellStyle name="Percent [2] 4 2" xfId="1526" xr:uid="{00000000-0005-0000-0000-0000C7050000}"/>
    <cellStyle name="Percent [2] 4 3" xfId="1527" xr:uid="{00000000-0005-0000-0000-0000C8050000}"/>
    <cellStyle name="Percent [2] 4 4" xfId="1528" xr:uid="{00000000-0005-0000-0000-0000C9050000}"/>
    <cellStyle name="Percent [2] 4 5" xfId="1529" xr:uid="{00000000-0005-0000-0000-0000CA050000}"/>
    <cellStyle name="Percent [2] 4 6" xfId="1530" xr:uid="{00000000-0005-0000-0000-0000CB050000}"/>
    <cellStyle name="Percent [2] 4 7" xfId="1531" xr:uid="{00000000-0005-0000-0000-0000CC050000}"/>
    <cellStyle name="Percent [2] 4 8" xfId="1532" xr:uid="{00000000-0005-0000-0000-0000CD050000}"/>
    <cellStyle name="Percent [2] 4 9" xfId="1533" xr:uid="{00000000-0005-0000-0000-0000CE050000}"/>
    <cellStyle name="Percent [2] 5" xfId="166" xr:uid="{00000000-0005-0000-0000-0000CF050000}"/>
    <cellStyle name="Percent [2] 5 10" xfId="1534" xr:uid="{00000000-0005-0000-0000-0000D0050000}"/>
    <cellStyle name="Percent [2] 5 11" xfId="1535" xr:uid="{00000000-0005-0000-0000-0000D1050000}"/>
    <cellStyle name="Percent [2] 5 12" xfId="1536" xr:uid="{00000000-0005-0000-0000-0000D2050000}"/>
    <cellStyle name="Percent [2] 5 13" xfId="1537" xr:uid="{00000000-0005-0000-0000-0000D3050000}"/>
    <cellStyle name="Percent [2] 5 14" xfId="1538" xr:uid="{00000000-0005-0000-0000-0000D4050000}"/>
    <cellStyle name="Percent [2] 5 15" xfId="1539" xr:uid="{00000000-0005-0000-0000-0000D5050000}"/>
    <cellStyle name="Percent [2] 5 16" xfId="1540" xr:uid="{00000000-0005-0000-0000-0000D6050000}"/>
    <cellStyle name="Percent [2] 5 17" xfId="1541" xr:uid="{00000000-0005-0000-0000-0000D7050000}"/>
    <cellStyle name="Percent [2] 5 2" xfId="1542" xr:uid="{00000000-0005-0000-0000-0000D8050000}"/>
    <cellStyle name="Percent [2] 5 3" xfId="1543" xr:uid="{00000000-0005-0000-0000-0000D9050000}"/>
    <cellStyle name="Percent [2] 5 4" xfId="1544" xr:uid="{00000000-0005-0000-0000-0000DA050000}"/>
    <cellStyle name="Percent [2] 5 5" xfId="1545" xr:uid="{00000000-0005-0000-0000-0000DB050000}"/>
    <cellStyle name="Percent [2] 5 6" xfId="1546" xr:uid="{00000000-0005-0000-0000-0000DC050000}"/>
    <cellStyle name="Percent [2] 5 7" xfId="1547" xr:uid="{00000000-0005-0000-0000-0000DD050000}"/>
    <cellStyle name="Percent [2] 5 8" xfId="1548" xr:uid="{00000000-0005-0000-0000-0000DE050000}"/>
    <cellStyle name="Percent [2] 5 9" xfId="1549" xr:uid="{00000000-0005-0000-0000-0000DF050000}"/>
    <cellStyle name="Percent [2] 6" xfId="167" xr:uid="{00000000-0005-0000-0000-0000E0050000}"/>
    <cellStyle name="Percent [2] 7" xfId="1550" xr:uid="{00000000-0005-0000-0000-0000E1050000}"/>
    <cellStyle name="Percent [2] 8" xfId="1551" xr:uid="{00000000-0005-0000-0000-0000E2050000}"/>
    <cellStyle name="Percent [2] 9" xfId="1552" xr:uid="{00000000-0005-0000-0000-0000E3050000}"/>
    <cellStyle name="Percent 2" xfId="1553" xr:uid="{00000000-0005-0000-0000-0000E4050000}"/>
    <cellStyle name="Ref Numbers" xfId="168" xr:uid="{00000000-0005-0000-0000-0000E5050000}"/>
    <cellStyle name="Ref Numbers 2" xfId="169" xr:uid="{00000000-0005-0000-0000-0000E6050000}"/>
    <cellStyle name="Ref Numbers 2 2" xfId="1554" xr:uid="{00000000-0005-0000-0000-0000E7050000}"/>
    <cellStyle name="Ref Numbers 2 3" xfId="1555" xr:uid="{00000000-0005-0000-0000-0000E8050000}"/>
    <cellStyle name="Ref Numbers 3" xfId="170" xr:uid="{00000000-0005-0000-0000-0000E9050000}"/>
    <cellStyle name="Ref Numbers 3 2" xfId="1556" xr:uid="{00000000-0005-0000-0000-0000EA050000}"/>
    <cellStyle name="Ref Numbers 3 3" xfId="1557" xr:uid="{00000000-0005-0000-0000-0000EB050000}"/>
    <cellStyle name="Ref Numbers 4" xfId="171" xr:uid="{00000000-0005-0000-0000-0000EC050000}"/>
    <cellStyle name="Ref Numbers 4 2" xfId="1558" xr:uid="{00000000-0005-0000-0000-0000ED050000}"/>
    <cellStyle name="Ref Numbers 4 3" xfId="1559" xr:uid="{00000000-0005-0000-0000-0000EE050000}"/>
    <cellStyle name="Ref Numbers 5" xfId="172" xr:uid="{00000000-0005-0000-0000-0000EF050000}"/>
    <cellStyle name="Ref Numbers 5 2" xfId="1560" xr:uid="{00000000-0005-0000-0000-0000F0050000}"/>
    <cellStyle name="Ref Numbers 5 3" xfId="1561" xr:uid="{00000000-0005-0000-0000-0000F1050000}"/>
    <cellStyle name="Sheet Title" xfId="1562" xr:uid="{00000000-0005-0000-0000-0000F2050000}"/>
    <cellStyle name="Source Line" xfId="173" xr:uid="{00000000-0005-0000-0000-0000F3050000}"/>
    <cellStyle name="Source Line 2" xfId="174" xr:uid="{00000000-0005-0000-0000-0000F4050000}"/>
    <cellStyle name="Source Line 3" xfId="175" xr:uid="{00000000-0005-0000-0000-0000F5050000}"/>
    <cellStyle name="Source Line 4" xfId="176" xr:uid="{00000000-0005-0000-0000-0000F6050000}"/>
    <cellStyle name="Source Line 5" xfId="177" xr:uid="{00000000-0005-0000-0000-0000F7050000}"/>
    <cellStyle name="Source Line 6" xfId="1563" xr:uid="{00000000-0005-0000-0000-0000F8050000}"/>
    <cellStyle name="Source Line 7" xfId="1564" xr:uid="{00000000-0005-0000-0000-0000F9050000}"/>
    <cellStyle name="Source Line_New VM - Sizing (Ex1b)" xfId="178" xr:uid="{00000000-0005-0000-0000-0000FA050000}"/>
    <cellStyle name="Style 1" xfId="179" xr:uid="{00000000-0005-0000-0000-0000FB050000}"/>
    <cellStyle name="subhead" xfId="180" xr:uid="{00000000-0005-0000-0000-0000FC050000}"/>
    <cellStyle name="Table Heading" xfId="181" xr:uid="{00000000-0005-0000-0000-0000FD050000}"/>
    <cellStyle name="Table Heading 2" xfId="182" xr:uid="{00000000-0005-0000-0000-0000FE050000}"/>
    <cellStyle name="Table Heading 2 2" xfId="1565" xr:uid="{00000000-0005-0000-0000-0000FF050000}"/>
    <cellStyle name="Table Heading 2 3" xfId="1566" xr:uid="{00000000-0005-0000-0000-000000060000}"/>
    <cellStyle name="Table Heading 3" xfId="183" xr:uid="{00000000-0005-0000-0000-000001060000}"/>
    <cellStyle name="Table Heading 3 2" xfId="1567" xr:uid="{00000000-0005-0000-0000-000002060000}"/>
    <cellStyle name="Table Heading 3 3" xfId="1568" xr:uid="{00000000-0005-0000-0000-000003060000}"/>
    <cellStyle name="Table Heading 4" xfId="184" xr:uid="{00000000-0005-0000-0000-000004060000}"/>
    <cellStyle name="Table Heading 4 2" xfId="1569" xr:uid="{00000000-0005-0000-0000-000005060000}"/>
    <cellStyle name="Table Heading 4 3" xfId="1570" xr:uid="{00000000-0005-0000-0000-000006060000}"/>
    <cellStyle name="Table Heading 5" xfId="185" xr:uid="{00000000-0005-0000-0000-000007060000}"/>
    <cellStyle name="Table Heading 5 2" xfId="1571" xr:uid="{00000000-0005-0000-0000-000008060000}"/>
    <cellStyle name="Table Heading 5 3" xfId="1572" xr:uid="{00000000-0005-0000-0000-000009060000}"/>
    <cellStyle name="Title 2" xfId="186" xr:uid="{00000000-0005-0000-0000-00000A060000}"/>
    <cellStyle name="Title 3" xfId="187" xr:uid="{00000000-0005-0000-0000-00000B060000}"/>
    <cellStyle name="Title 4" xfId="188" xr:uid="{00000000-0005-0000-0000-00000C060000}"/>
    <cellStyle name="Title Line" xfId="189" xr:uid="{00000000-0005-0000-0000-00000D060000}"/>
    <cellStyle name="Title Line 2" xfId="190" xr:uid="{00000000-0005-0000-0000-00000E060000}"/>
    <cellStyle name="Title Line 2 2" xfId="1573" xr:uid="{00000000-0005-0000-0000-00000F060000}"/>
    <cellStyle name="Title Line 2 3" xfId="1574" xr:uid="{00000000-0005-0000-0000-000010060000}"/>
    <cellStyle name="Title Line 3" xfId="191" xr:uid="{00000000-0005-0000-0000-000011060000}"/>
    <cellStyle name="Title Line 3 2" xfId="1575" xr:uid="{00000000-0005-0000-0000-000012060000}"/>
    <cellStyle name="Title Line 3 3" xfId="1576" xr:uid="{00000000-0005-0000-0000-000013060000}"/>
    <cellStyle name="Title Line 4" xfId="192" xr:uid="{00000000-0005-0000-0000-000014060000}"/>
    <cellStyle name="Title Line 4 2" xfId="1577" xr:uid="{00000000-0005-0000-0000-000015060000}"/>
    <cellStyle name="Title Line 4 3" xfId="1578" xr:uid="{00000000-0005-0000-0000-000016060000}"/>
    <cellStyle name="Title Line 5" xfId="193" xr:uid="{00000000-0005-0000-0000-000017060000}"/>
    <cellStyle name="Title Line 5 2" xfId="1579" xr:uid="{00000000-0005-0000-0000-000018060000}"/>
    <cellStyle name="Title Line 5 3" xfId="1580" xr:uid="{00000000-0005-0000-0000-000019060000}"/>
    <cellStyle name="Top Row" xfId="194" xr:uid="{00000000-0005-0000-0000-00001A060000}"/>
    <cellStyle name="Top Row 2" xfId="195" xr:uid="{00000000-0005-0000-0000-00001B060000}"/>
    <cellStyle name="Top Row 2 2" xfId="1581" xr:uid="{00000000-0005-0000-0000-00001C060000}"/>
    <cellStyle name="Top Row 2 2 2" xfId="1582" xr:uid="{00000000-0005-0000-0000-00001D060000}"/>
    <cellStyle name="Top Row 2 3" xfId="1583" xr:uid="{00000000-0005-0000-0000-00001E060000}"/>
    <cellStyle name="Top Row 2 3 2" xfId="1584" xr:uid="{00000000-0005-0000-0000-00001F060000}"/>
    <cellStyle name="Top Row 2 4" xfId="1585" xr:uid="{00000000-0005-0000-0000-000020060000}"/>
    <cellStyle name="Top Row 3" xfId="196" xr:uid="{00000000-0005-0000-0000-000021060000}"/>
    <cellStyle name="Top Row 3 2" xfId="1586" xr:uid="{00000000-0005-0000-0000-000022060000}"/>
    <cellStyle name="Top Row 3 2 2" xfId="1587" xr:uid="{00000000-0005-0000-0000-000023060000}"/>
    <cellStyle name="Top Row 3 3" xfId="1588" xr:uid="{00000000-0005-0000-0000-000024060000}"/>
    <cellStyle name="Top Row 3 3 2" xfId="1589" xr:uid="{00000000-0005-0000-0000-000025060000}"/>
    <cellStyle name="Top Row 3 4" xfId="1590" xr:uid="{00000000-0005-0000-0000-000026060000}"/>
    <cellStyle name="Top Row 4" xfId="197" xr:uid="{00000000-0005-0000-0000-000027060000}"/>
    <cellStyle name="Top Row 4 2" xfId="1591" xr:uid="{00000000-0005-0000-0000-000028060000}"/>
    <cellStyle name="Top Row 4 2 2" xfId="1592" xr:uid="{00000000-0005-0000-0000-000029060000}"/>
    <cellStyle name="Top Row 4 3" xfId="1593" xr:uid="{00000000-0005-0000-0000-00002A060000}"/>
    <cellStyle name="Top Row 4 3 2" xfId="1594" xr:uid="{00000000-0005-0000-0000-00002B060000}"/>
    <cellStyle name="Top Row 4 4" xfId="1595" xr:uid="{00000000-0005-0000-0000-00002C060000}"/>
    <cellStyle name="Top Row 5" xfId="198" xr:uid="{00000000-0005-0000-0000-00002D060000}"/>
    <cellStyle name="Top Row 5 2" xfId="1596" xr:uid="{00000000-0005-0000-0000-00002E060000}"/>
    <cellStyle name="Top Row 5 2 2" xfId="1597" xr:uid="{00000000-0005-0000-0000-00002F060000}"/>
    <cellStyle name="Top Row 5 3" xfId="1598" xr:uid="{00000000-0005-0000-0000-000030060000}"/>
    <cellStyle name="Top Row 5 3 2" xfId="1599" xr:uid="{00000000-0005-0000-0000-000031060000}"/>
    <cellStyle name="Top Row 5 4" xfId="1600" xr:uid="{00000000-0005-0000-0000-000032060000}"/>
    <cellStyle name="Top Row 6" xfId="1601" xr:uid="{00000000-0005-0000-0000-000033060000}"/>
    <cellStyle name="Total 2" xfId="199" xr:uid="{00000000-0005-0000-0000-000034060000}"/>
    <cellStyle name="Total 2 2" xfId="1602" xr:uid="{00000000-0005-0000-0000-000035060000}"/>
    <cellStyle name="Total 2 2 2" xfId="1603" xr:uid="{00000000-0005-0000-0000-000036060000}"/>
    <cellStyle name="Total 2 3" xfId="1604" xr:uid="{00000000-0005-0000-0000-000037060000}"/>
    <cellStyle name="Total 3" xfId="200" xr:uid="{00000000-0005-0000-0000-000038060000}"/>
    <cellStyle name="Total 3 2" xfId="1605" xr:uid="{00000000-0005-0000-0000-000039060000}"/>
    <cellStyle name="Total 4" xfId="201" xr:uid="{00000000-0005-0000-0000-00003A060000}"/>
    <cellStyle name="Total 4 2" xfId="1606" xr:uid="{00000000-0005-0000-0000-00003B060000}"/>
    <cellStyle name="Total 5" xfId="1607" xr:uid="{00000000-0005-0000-0000-00003C060000}"/>
    <cellStyle name="Total 5 2" xfId="1608" xr:uid="{00000000-0005-0000-0000-00003D060000}"/>
    <cellStyle name="Total 6" xfId="1609" xr:uid="{00000000-0005-0000-0000-00003E060000}"/>
    <cellStyle name="Total 7" xfId="1610" xr:uid="{00000000-0005-0000-0000-00003F060000}"/>
    <cellStyle name="Total 8" xfId="1611" xr:uid="{00000000-0005-0000-0000-000040060000}"/>
    <cellStyle name="Total 9" xfId="1612" xr:uid="{00000000-0005-0000-0000-000041060000}"/>
    <cellStyle name="Total Row" xfId="202" xr:uid="{00000000-0005-0000-0000-000042060000}"/>
    <cellStyle name="Total Row 2" xfId="203" xr:uid="{00000000-0005-0000-0000-000043060000}"/>
    <cellStyle name="Total Row 2 2" xfId="1613" xr:uid="{00000000-0005-0000-0000-000044060000}"/>
    <cellStyle name="Total Row 2 3" xfId="1614" xr:uid="{00000000-0005-0000-0000-000045060000}"/>
    <cellStyle name="Total Row 3" xfId="204" xr:uid="{00000000-0005-0000-0000-000046060000}"/>
    <cellStyle name="Total Row 3 2" xfId="1615" xr:uid="{00000000-0005-0000-0000-000047060000}"/>
    <cellStyle name="Total Row 3 3" xfId="1616" xr:uid="{00000000-0005-0000-0000-000048060000}"/>
    <cellStyle name="Total Row 4" xfId="205" xr:uid="{00000000-0005-0000-0000-000049060000}"/>
    <cellStyle name="Total Row 4 2" xfId="1617" xr:uid="{00000000-0005-0000-0000-00004A060000}"/>
    <cellStyle name="Total Row 4 3" xfId="1618" xr:uid="{00000000-0005-0000-0000-00004B060000}"/>
    <cellStyle name="Total Row 5" xfId="206" xr:uid="{00000000-0005-0000-0000-00004C060000}"/>
    <cellStyle name="Total Row 5 2" xfId="1619" xr:uid="{00000000-0005-0000-0000-00004D060000}"/>
    <cellStyle name="Total Row 5 3" xfId="1620" xr:uid="{00000000-0005-0000-0000-00004E060000}"/>
    <cellStyle name="Tusental (0)_laroux" xfId="207" xr:uid="{00000000-0005-0000-0000-00004F060000}"/>
    <cellStyle name="Tusental_laroux" xfId="208" xr:uid="{00000000-0005-0000-0000-000050060000}"/>
    <cellStyle name="Valuta (0)_laroux" xfId="209" xr:uid="{00000000-0005-0000-0000-000051060000}"/>
    <cellStyle name="Valuta_laroux" xfId="210" xr:uid="{00000000-0005-0000-0000-000052060000}"/>
    <cellStyle name="Währung [0]_laroux" xfId="211" xr:uid="{00000000-0005-0000-0000-000053060000}"/>
    <cellStyle name="Währung_laroux" xfId="212" xr:uid="{00000000-0005-0000-0000-000054060000}"/>
    <cellStyle name="Warning Text 2" xfId="213" xr:uid="{00000000-0005-0000-0000-000055060000}"/>
    <cellStyle name="Warning Text 3" xfId="214" xr:uid="{00000000-0005-0000-0000-000056060000}"/>
    <cellStyle name="Warning Text 4" xfId="215" xr:uid="{00000000-0005-0000-0000-000057060000}"/>
    <cellStyle name="Warning Text 5" xfId="1621" xr:uid="{00000000-0005-0000-0000-000058060000}"/>
    <cellStyle name="Warning Text 6" xfId="1622" xr:uid="{00000000-0005-0000-0000-000059060000}"/>
    <cellStyle name="Warning Text 7" xfId="1623" xr:uid="{00000000-0005-0000-0000-00005A060000}"/>
    <cellStyle name="Warning Text 8" xfId="1624" xr:uid="{00000000-0005-0000-0000-00005B060000}"/>
    <cellStyle name="Warning Text 9" xfId="1625" xr:uid="{00000000-0005-0000-0000-00005C060000}"/>
  </cellStyles>
  <dxfs count="86"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132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12</xdr:row>
          <xdr:rowOff>161925</xdr:rowOff>
        </xdr:from>
        <xdr:to>
          <xdr:col>6</xdr:col>
          <xdr:colOff>609600</xdr:colOff>
          <xdr:row>16</xdr:row>
          <xdr:rowOff>19050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6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_EDT-AES/Processes/VMWARE/test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Validation"/>
      <sheetName val="SCRF"/>
      <sheetName val="Contact"/>
      <sheetName val="Names"/>
      <sheetName val="New VM - Sizing (Example)"/>
      <sheetName val="Storage"/>
      <sheetName val="Software"/>
      <sheetName val="Vol Layout (1)"/>
      <sheetName val="Vol Access (1)"/>
      <sheetName val="CLUSTER (1)"/>
      <sheetName val="iSCSI"/>
      <sheetName val="Topology"/>
      <sheetName val="Exchange (needs re-work)"/>
      <sheetName val="Support (1)"/>
      <sheetName val="MSSQL (needs re-work)"/>
      <sheetName val="Oracle (needs re-work)"/>
      <sheetName val="Oracle EMGridControl"/>
      <sheetName val="ML &amp; TL Tape Config (re-work)"/>
      <sheetName val="PV Tape Config (needs re-work)"/>
      <sheetName val="Issues"/>
      <sheetName val="Revision (0.0.0)"/>
      <sheetName val="Usable"/>
    </sheetNames>
    <sheetDataSet>
      <sheetData sheetId="0" refreshError="1"/>
      <sheetData sheetId="1" refreshError="1"/>
      <sheetData sheetId="2" refreshError="1"/>
      <sheetData sheetId="3">
        <row r="100">
          <cell r="C100" t="str">
            <v xml:space="preserve">Anil Shukla </v>
          </cell>
        </row>
      </sheetData>
      <sheetData sheetId="4">
        <row r="2">
          <cell r="N2" t="str">
            <v>10.50.1.5</v>
          </cell>
        </row>
        <row r="37">
          <cell r="B37" t="str">
            <v>GROUP1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50002">
          <cell r="B50002" t="str">
            <v>GROUP1</v>
          </cell>
        </row>
      </sheetData>
      <sheetData sheetId="10">
        <row r="50002">
          <cell r="B50002" t="str">
            <v>GROUP1</v>
          </cell>
        </row>
      </sheetData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1">
          <cell r="N1">
            <v>1.0007879215380229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e1" displayName="Table1" ref="A14:B28" totalsRowShown="0" headerRowDxfId="85" dataDxfId="84" tableBorderDxfId="83">
  <autoFilter ref="A14:B28" xr:uid="{00000000-0009-0000-0100-000001000000}"/>
  <tableColumns count="2">
    <tableColumn id="1" xr3:uid="{00000000-0010-0000-0300-000001000000}" name="Attribute" dataDxfId="82"/>
    <tableColumn id="2" xr3:uid="{00000000-0010-0000-0300-000002000000}" name="Attribute Value" dataDxfId="8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32:B38" totalsRowShown="0" headerRowDxfId="80" dataDxfId="79" tableBorderDxfId="78">
  <autoFilter ref="A32:B38" xr:uid="{00000000-0009-0000-0100-000002000000}"/>
  <tableColumns count="2">
    <tableColumn id="1" xr3:uid="{00000000-0010-0000-0400-000001000000}" name="Attribute" dataDxfId="77"/>
    <tableColumn id="2" xr3:uid="{00000000-0010-0000-0400-000002000000}" name="Attribute Value" dataDxfId="7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e3" displayName="Table3" ref="A42:B48" totalsRowShown="0" headerRowDxfId="75" dataDxfId="74" tableBorderDxfId="73">
  <autoFilter ref="A42:B48" xr:uid="{00000000-0009-0000-0100-000003000000}"/>
  <tableColumns count="2">
    <tableColumn id="1" xr3:uid="{00000000-0010-0000-0500-000001000000}" name="Attribute" dataDxfId="72"/>
    <tableColumn id="2" xr3:uid="{00000000-0010-0000-0500-000002000000}" name="Attribute Value" dataDxfId="7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le4" displayName="Table4" ref="A52:B63" totalsRowShown="0" headerRowDxfId="70" dataDxfId="69" tableBorderDxfId="68">
  <autoFilter ref="A52:B63" xr:uid="{00000000-0009-0000-0100-000004000000}"/>
  <tableColumns count="2">
    <tableColumn id="1" xr3:uid="{00000000-0010-0000-0600-000001000000}" name="Attribute" dataDxfId="67"/>
    <tableColumn id="2" xr3:uid="{00000000-0010-0000-0600-000002000000}" name="Attribute Value" dataDxfId="6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A1:B10" totalsRowShown="0" headerRowDxfId="65" dataDxfId="63" headerRowBorderDxfId="64" tableBorderDxfId="62" totalsRowBorderDxfId="61">
  <autoFilter ref="A1:B10" xr:uid="{00000000-0009-0000-0100-000006000000}"/>
  <tableColumns count="2">
    <tableColumn id="1" xr3:uid="{00000000-0010-0000-0700-000001000000}" name="Attribute" dataDxfId="60"/>
    <tableColumn id="2" xr3:uid="{00000000-0010-0000-0700-000002000000}" name="Attribute Value" dataDxfId="5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0000000}" name="Table2125" displayName="Table2125" ref="B15:F25" totalsRowShown="0" headerRowDxfId="58" dataDxfId="57">
  <autoFilter ref="B15:F25" xr:uid="{00000000-0009-0000-0100-00000F000000}"/>
  <tableColumns count="5">
    <tableColumn id="1" xr3:uid="{00000000-0010-0000-0000-000001000000}" name="Network / VLANS" dataDxfId="56"/>
    <tableColumn id="2" xr3:uid="{00000000-0010-0000-0000-000002000000}" name="SAH" dataDxfId="55"/>
    <tableColumn id="3" xr3:uid="{00000000-0010-0000-0000-000003000000}" name="OpenStack Controller" dataDxfId="54"/>
    <tableColumn id="4" xr3:uid="{00000000-0010-0000-0000-000004000000}" name="OpenStack Compute" dataDxfId="53"/>
    <tableColumn id="5" xr3:uid="{00000000-0010-0000-0000-000005000000}" name="Red Hat Ceph Storage" dataDxfId="52"/>
  </tableColumns>
  <tableStyleInfo name="TableStyleLight16" showFirstColumn="1" showLastColumn="0" showRowStripes="0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NetworkInterfaces" displayName="NetworkInterfaces" ref="B30:Q34" totalsRowShown="0" headerRowDxfId="51" headerRowBorderDxfId="50" tableBorderDxfId="49" totalsRowBorderDxfId="48">
  <autoFilter ref="B30:Q34" xr:uid="{00000000-0009-0000-0100-00000A000000}"/>
  <tableColumns count="16">
    <tableColumn id="1" xr3:uid="{00000000-0010-0000-0200-000001000000}" name="Node Type" dataDxfId="47"/>
    <tableColumn id="15" xr3:uid="{00000000-0010-0000-0200-00000F000000}" name="Public Bond" dataDxfId="46"/>
    <tableColumn id="14" xr3:uid="{00000000-0010-0000-0200-00000E000000}" name="Private Bond" dataDxfId="45"/>
    <tableColumn id="2" xr3:uid="{00000000-0010-0000-0200-000002000000}" name="Provisioner" dataDxfId="44"/>
    <tableColumn id="3" xr3:uid="{00000000-0010-0000-0200-000003000000}" name="Anaconda" dataDxfId="43"/>
    <tableColumn id="4" xr3:uid="{00000000-0010-0000-0200-000004000000}" name="Bond0-NIC1" dataDxfId="42"/>
    <tableColumn id="5" xr3:uid="{00000000-0010-0000-0200-000005000000}" name="Bond0-NIC2" dataDxfId="41"/>
    <tableColumn id="6" xr3:uid="{00000000-0010-0000-0200-000006000000}" name="DPDK-Bond-Nic3" dataDxfId="40"/>
    <tableColumn id="7" xr3:uid="{00000000-0010-0000-0200-000007000000}" name="DPDK-Bond-Nic4" dataDxfId="39"/>
    <tableColumn id="8" xr3:uid="{00000000-0010-0000-0200-000008000000}" name="DPDK-Bond-Nic5" dataDxfId="38"/>
    <tableColumn id="9" xr3:uid="{00000000-0010-0000-0200-000009000000}" name="DPDK-Bond-Nic6" dataDxfId="37"/>
    <tableColumn id="10" xr3:uid="{00000000-0010-0000-0200-00000A000000}" name="Bond1-NIC1" dataDxfId="36"/>
    <tableColumn id="11" xr3:uid="{00000000-0010-0000-0200-00000B000000}" name="Bond1-NIC2" dataDxfId="35"/>
    <tableColumn id="12" xr3:uid="{00000000-0010-0000-0200-00000C000000}" name="SR-IOV-Bond-NIC1" dataDxfId="34"/>
    <tableColumn id="13" xr3:uid="{00000000-0010-0000-0200-00000D000000}" name="SR-IOV-Bond-NIC2" dataDxfId="33"/>
    <tableColumn id="16" xr3:uid="{A4CB6A1A-D5B8-4E91-9FE0-1BD26754F65C}" name="Bonding Option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08000000}" name="Table222144" displayName="Table222144" ref="J4:O57" totalsRowShown="0" headerRowDxfId="32" dataDxfId="31">
  <autoFilter ref="J4:O57" xr:uid="{00000000-0009-0000-0100-00002B000000}"/>
  <tableColumns count="6">
    <tableColumn id="1" xr3:uid="{00000000-0010-0000-0800-000001000000}" name="Name" dataDxfId="30"/>
    <tableColumn id="5" xr3:uid="{00000000-0010-0000-0800-000005000000}" name="Connector" dataDxfId="29"/>
    <tableColumn id="2" xr3:uid="{00000000-0010-0000-0800-000002000000}" name="Device Name" dataDxfId="28"/>
    <tableColumn id="3" xr3:uid="{00000000-0010-0000-0800-000003000000}" name="Port" dataDxfId="27"/>
    <tableColumn id="6" xr3:uid="{00000000-0010-0000-0800-000006000000}" name="#" dataDxfId="26"/>
    <tableColumn id="7" xr3:uid="{00000000-0010-0000-0800-000007000000}" name="Mode" dataDxfId="25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22213210" displayName="Table22213210" ref="J4:O59" totalsRowShown="0" headerRowDxfId="24" dataDxfId="23">
  <autoFilter ref="J4:O59" xr:uid="{00000000-0009-0000-0100-000009000000}"/>
  <tableColumns count="6">
    <tableColumn id="1" xr3:uid="{00000000-0010-0000-0900-000001000000}" name="Name" dataDxfId="22"/>
    <tableColumn id="5" xr3:uid="{00000000-0010-0000-0900-000005000000}" name="Connector" dataDxfId="21"/>
    <tableColumn id="2" xr3:uid="{00000000-0010-0000-0900-000002000000}" name="Device Name" dataDxfId="20"/>
    <tableColumn id="3" xr3:uid="{00000000-0010-0000-0900-000003000000}" name="Port" dataDxfId="19"/>
    <tableColumn id="6" xr3:uid="{00000000-0010-0000-0900-000006000000}" name="#" dataDxfId="18"/>
    <tableColumn id="7" xr3:uid="{00000000-0010-0000-0900-000007000000}" name="Mode" dataDxfId="1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0A000000}" name="Table222132" displayName="Table222132" ref="J4:O59" totalsRowShown="0" headerRowDxfId="16" dataDxfId="15">
  <autoFilter ref="J4:O59" xr:uid="{00000000-0009-0000-0100-00001F000000}"/>
  <tableColumns count="6">
    <tableColumn id="1" xr3:uid="{00000000-0010-0000-0A00-000001000000}" name="Name" dataDxfId="14"/>
    <tableColumn id="5" xr3:uid="{00000000-0010-0000-0A00-000005000000}" name="Connector" dataDxfId="13"/>
    <tableColumn id="2" xr3:uid="{00000000-0010-0000-0A00-000002000000}" name="Device Name" dataDxfId="12"/>
    <tableColumn id="3" xr3:uid="{00000000-0010-0000-0A00-000003000000}" name="Port " dataDxfId="11"/>
    <tableColumn id="6" xr3:uid="{00000000-0010-0000-0A00-000006000000}" name="#" dataDxfId="10"/>
    <tableColumn id="7" xr3:uid="{00000000-0010-0000-0A00-000007000000}" name="Mode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63"/>
  <sheetViews>
    <sheetView workbookViewId="0">
      <selection activeCell="B35" sqref="B35"/>
    </sheetView>
  </sheetViews>
  <sheetFormatPr defaultRowHeight="15" x14ac:dyDescent="0.25"/>
  <cols>
    <col min="1" max="1" width="39" style="3" bestFit="1" customWidth="1"/>
    <col min="2" max="2" width="33.85546875" style="91" bestFit="1" customWidth="1"/>
    <col min="3" max="16384" width="9.140625" style="91"/>
  </cols>
  <sheetData>
    <row r="1" spans="1:2" x14ac:dyDescent="0.25">
      <c r="A1" s="101" t="s">
        <v>469</v>
      </c>
      <c r="B1" s="102" t="s">
        <v>470</v>
      </c>
    </row>
    <row r="2" spans="1:2" x14ac:dyDescent="0.25">
      <c r="A2" s="103" t="s">
        <v>393</v>
      </c>
      <c r="B2" s="153" t="s">
        <v>677</v>
      </c>
    </row>
    <row r="3" spans="1:2" x14ac:dyDescent="0.25">
      <c r="A3" s="104" t="s">
        <v>33</v>
      </c>
      <c r="B3" s="105" t="s">
        <v>678</v>
      </c>
    </row>
    <row r="4" spans="1:2" x14ac:dyDescent="0.25">
      <c r="A4" s="104" t="s">
        <v>34</v>
      </c>
      <c r="B4" s="105" t="s">
        <v>679</v>
      </c>
    </row>
    <row r="5" spans="1:2" x14ac:dyDescent="0.25">
      <c r="A5" s="104" t="s">
        <v>467</v>
      </c>
      <c r="B5" s="105" t="s">
        <v>680</v>
      </c>
    </row>
    <row r="6" spans="1:2" x14ac:dyDescent="0.25">
      <c r="A6" s="104" t="s">
        <v>468</v>
      </c>
      <c r="B6" s="105"/>
    </row>
    <row r="7" spans="1:2" x14ac:dyDescent="0.25">
      <c r="A7" s="104" t="s">
        <v>25</v>
      </c>
      <c r="B7" s="105" t="s">
        <v>361</v>
      </c>
    </row>
    <row r="8" spans="1:2" x14ac:dyDescent="0.25">
      <c r="A8" s="104" t="s">
        <v>26</v>
      </c>
      <c r="B8" s="105" t="s">
        <v>415</v>
      </c>
    </row>
    <row r="9" spans="1:2" x14ac:dyDescent="0.25">
      <c r="A9" s="104" t="s">
        <v>27</v>
      </c>
      <c r="B9" s="105" t="s">
        <v>417</v>
      </c>
    </row>
    <row r="10" spans="1:2" x14ac:dyDescent="0.25">
      <c r="A10" s="106" t="s">
        <v>28</v>
      </c>
      <c r="B10" s="107" t="s">
        <v>416</v>
      </c>
    </row>
    <row r="11" spans="1:2" x14ac:dyDescent="0.25">
      <c r="B11" s="94"/>
    </row>
    <row r="12" spans="1:2" ht="15.75" thickBot="1" x14ac:dyDescent="0.3"/>
    <row r="13" spans="1:2" x14ac:dyDescent="0.25">
      <c r="A13" s="203" t="s">
        <v>675</v>
      </c>
      <c r="B13" s="204"/>
    </row>
    <row r="14" spans="1:2" x14ac:dyDescent="0.25">
      <c r="A14" s="3" t="s">
        <v>469</v>
      </c>
      <c r="B14" s="91" t="s">
        <v>470</v>
      </c>
    </row>
    <row r="15" spans="1:2" x14ac:dyDescent="0.25">
      <c r="A15" s="86" t="s">
        <v>432</v>
      </c>
      <c r="B15" s="83" t="s">
        <v>681</v>
      </c>
    </row>
    <row r="16" spans="1:2" x14ac:dyDescent="0.25">
      <c r="A16" s="86" t="s">
        <v>507</v>
      </c>
      <c r="B16" s="83" t="s">
        <v>676</v>
      </c>
    </row>
    <row r="17" spans="1:2" x14ac:dyDescent="0.25">
      <c r="A17" s="86" t="s">
        <v>433</v>
      </c>
      <c r="B17" s="83" t="s">
        <v>682</v>
      </c>
    </row>
    <row r="18" spans="1:2" x14ac:dyDescent="0.25">
      <c r="A18" s="86" t="s">
        <v>434</v>
      </c>
      <c r="B18" s="83" t="s">
        <v>676</v>
      </c>
    </row>
    <row r="19" spans="1:2" x14ac:dyDescent="0.25">
      <c r="A19" s="86" t="s">
        <v>526</v>
      </c>
      <c r="B19" s="83" t="s">
        <v>676</v>
      </c>
    </row>
    <row r="20" spans="1:2" x14ac:dyDescent="0.25">
      <c r="A20" s="86" t="s">
        <v>527</v>
      </c>
      <c r="B20" s="83" t="s">
        <v>676</v>
      </c>
    </row>
    <row r="21" spans="1:2" x14ac:dyDescent="0.25">
      <c r="A21" s="86" t="s">
        <v>465</v>
      </c>
      <c r="B21" s="83" t="s">
        <v>676</v>
      </c>
    </row>
    <row r="22" spans="1:2" x14ac:dyDescent="0.25">
      <c r="A22" s="86" t="s">
        <v>435</v>
      </c>
      <c r="B22" s="83" t="b">
        <v>1</v>
      </c>
    </row>
    <row r="23" spans="1:2" x14ac:dyDescent="0.25">
      <c r="A23" s="86" t="s">
        <v>436</v>
      </c>
      <c r="B23" s="83" t="b">
        <v>1</v>
      </c>
    </row>
    <row r="24" spans="1:2" x14ac:dyDescent="0.25">
      <c r="A24" s="86" t="s">
        <v>437</v>
      </c>
      <c r="B24" s="83" t="b">
        <v>1</v>
      </c>
    </row>
    <row r="25" spans="1:2" x14ac:dyDescent="0.25">
      <c r="A25" s="86" t="s">
        <v>439</v>
      </c>
      <c r="B25" s="83" t="b">
        <v>0</v>
      </c>
    </row>
    <row r="26" spans="1:2" x14ac:dyDescent="0.25">
      <c r="A26" s="86" t="s">
        <v>438</v>
      </c>
      <c r="B26" s="83" t="b">
        <v>0</v>
      </c>
    </row>
    <row r="27" spans="1:2" x14ac:dyDescent="0.25">
      <c r="A27" s="87" t="s">
        <v>440</v>
      </c>
      <c r="B27" s="93" t="b">
        <v>1</v>
      </c>
    </row>
    <row r="28" spans="1:2" ht="15.75" thickBot="1" x14ac:dyDescent="0.3">
      <c r="A28" s="87"/>
      <c r="B28" s="93"/>
    </row>
    <row r="29" spans="1:2" x14ac:dyDescent="0.25">
      <c r="A29" s="85"/>
      <c r="B29" s="92"/>
    </row>
    <row r="30" spans="1:2" ht="15.75" thickBot="1" x14ac:dyDescent="0.3">
      <c r="A30" s="17"/>
      <c r="B30" s="95"/>
    </row>
    <row r="31" spans="1:2" x14ac:dyDescent="0.25">
      <c r="A31" s="207" t="s">
        <v>472</v>
      </c>
      <c r="B31" s="208"/>
    </row>
    <row r="32" spans="1:2" ht="15.75" thickBot="1" x14ac:dyDescent="0.3">
      <c r="A32" s="3" t="s">
        <v>469</v>
      </c>
      <c r="B32" s="91" t="s">
        <v>470</v>
      </c>
    </row>
    <row r="33" spans="1:2" x14ac:dyDescent="0.25">
      <c r="A33" s="88" t="s">
        <v>274</v>
      </c>
      <c r="B33" s="96" t="s">
        <v>683</v>
      </c>
    </row>
    <row r="34" spans="1:2" x14ac:dyDescent="0.25">
      <c r="A34" s="86" t="s">
        <v>275</v>
      </c>
      <c r="B34" s="83" t="s">
        <v>676</v>
      </c>
    </row>
    <row r="35" spans="1:2" x14ac:dyDescent="0.25">
      <c r="A35" s="86" t="s">
        <v>423</v>
      </c>
      <c r="B35" s="83">
        <v>20</v>
      </c>
    </row>
    <row r="36" spans="1:2" x14ac:dyDescent="0.25">
      <c r="A36" s="86" t="s">
        <v>276</v>
      </c>
      <c r="B36" s="83" t="s">
        <v>279</v>
      </c>
    </row>
    <row r="37" spans="1:2" x14ac:dyDescent="0.25">
      <c r="A37" s="86" t="s">
        <v>277</v>
      </c>
      <c r="B37" s="83" t="s">
        <v>280</v>
      </c>
    </row>
    <row r="38" spans="1:2" x14ac:dyDescent="0.25">
      <c r="A38" s="87" t="s">
        <v>278</v>
      </c>
      <c r="B38" s="93" t="s">
        <v>281</v>
      </c>
    </row>
    <row r="39" spans="1:2" x14ac:dyDescent="0.25">
      <c r="A39" s="17"/>
      <c r="B39" s="151"/>
    </row>
    <row r="40" spans="1:2" ht="15.75" thickBot="1" x14ac:dyDescent="0.3">
      <c r="A40" s="17"/>
      <c r="B40" s="94"/>
    </row>
    <row r="41" spans="1:2" ht="15.75" thickBot="1" x14ac:dyDescent="0.3">
      <c r="A41" s="205" t="s">
        <v>471</v>
      </c>
      <c r="B41" s="206"/>
    </row>
    <row r="42" spans="1:2" x14ac:dyDescent="0.25">
      <c r="A42" s="3" t="s">
        <v>469</v>
      </c>
      <c r="B42" s="91" t="s">
        <v>470</v>
      </c>
    </row>
    <row r="43" spans="1:2" x14ac:dyDescent="0.25">
      <c r="A43" s="84" t="s">
        <v>431</v>
      </c>
      <c r="B43" s="97" t="b">
        <v>0</v>
      </c>
    </row>
    <row r="44" spans="1:2" x14ac:dyDescent="0.25">
      <c r="A44" s="86" t="s">
        <v>462</v>
      </c>
      <c r="B44" s="83" t="s">
        <v>466</v>
      </c>
    </row>
    <row r="45" spans="1:2" x14ac:dyDescent="0.25">
      <c r="A45" s="86" t="s">
        <v>445</v>
      </c>
      <c r="B45" s="83" t="s">
        <v>442</v>
      </c>
    </row>
    <row r="46" spans="1:2" x14ac:dyDescent="0.25">
      <c r="A46" s="86" t="s">
        <v>446</v>
      </c>
      <c r="B46" s="83" t="b">
        <v>0</v>
      </c>
    </row>
    <row r="47" spans="1:2" x14ac:dyDescent="0.25">
      <c r="A47" s="86" t="s">
        <v>447</v>
      </c>
      <c r="B47" s="83" t="s">
        <v>441</v>
      </c>
    </row>
    <row r="48" spans="1:2" x14ac:dyDescent="0.25">
      <c r="A48" s="89" t="s">
        <v>444</v>
      </c>
      <c r="B48" s="93" t="s">
        <v>443</v>
      </c>
    </row>
    <row r="49" spans="1:2" x14ac:dyDescent="0.25">
      <c r="A49" s="152"/>
      <c r="B49" s="151"/>
    </row>
    <row r="50" spans="1:2" ht="15.75" thickBot="1" x14ac:dyDescent="0.3"/>
    <row r="51" spans="1:2" x14ac:dyDescent="0.25">
      <c r="A51" s="203" t="s">
        <v>448</v>
      </c>
      <c r="B51" s="204"/>
    </row>
    <row r="52" spans="1:2" x14ac:dyDescent="0.25">
      <c r="A52" s="3" t="s">
        <v>469</v>
      </c>
      <c r="B52" s="91" t="s">
        <v>470</v>
      </c>
    </row>
    <row r="53" spans="1:2" x14ac:dyDescent="0.25">
      <c r="A53" s="86" t="s">
        <v>451</v>
      </c>
      <c r="B53" s="83" t="b">
        <v>0</v>
      </c>
    </row>
    <row r="54" spans="1:2" x14ac:dyDescent="0.25">
      <c r="A54" s="86" t="s">
        <v>452</v>
      </c>
      <c r="B54" s="83"/>
    </row>
    <row r="55" spans="1:2" x14ac:dyDescent="0.25">
      <c r="A55" s="86" t="s">
        <v>453</v>
      </c>
      <c r="B55" s="83">
        <v>3033</v>
      </c>
    </row>
    <row r="56" spans="1:2" x14ac:dyDescent="0.25">
      <c r="A56" s="86" t="s">
        <v>454</v>
      </c>
      <c r="B56" s="83"/>
    </row>
    <row r="57" spans="1:2" x14ac:dyDescent="0.25">
      <c r="A57" s="86" t="s">
        <v>455</v>
      </c>
      <c r="B57" s="83">
        <v>3260</v>
      </c>
    </row>
    <row r="58" spans="1:2" x14ac:dyDescent="0.25">
      <c r="A58" s="90" t="s">
        <v>456</v>
      </c>
      <c r="B58" s="83"/>
    </row>
    <row r="59" spans="1:2" x14ac:dyDescent="0.25">
      <c r="A59" s="90" t="s">
        <v>457</v>
      </c>
      <c r="B59" s="83"/>
    </row>
    <row r="60" spans="1:2" x14ac:dyDescent="0.25">
      <c r="A60" s="86" t="s">
        <v>458</v>
      </c>
      <c r="B60" s="83"/>
    </row>
    <row r="61" spans="1:2" x14ac:dyDescent="0.25">
      <c r="A61" s="86" t="s">
        <v>461</v>
      </c>
      <c r="B61" s="83"/>
    </row>
    <row r="62" spans="1:2" x14ac:dyDescent="0.25">
      <c r="A62" s="86" t="s">
        <v>459</v>
      </c>
      <c r="B62" s="83" t="s">
        <v>449</v>
      </c>
    </row>
    <row r="63" spans="1:2" x14ac:dyDescent="0.25">
      <c r="A63" s="87" t="s">
        <v>460</v>
      </c>
      <c r="B63" s="93" t="s">
        <v>450</v>
      </c>
    </row>
  </sheetData>
  <mergeCells count="4">
    <mergeCell ref="A13:B13"/>
    <mergeCell ref="A51:B51"/>
    <mergeCell ref="A41:B41"/>
    <mergeCell ref="A31:B31"/>
  </mergeCells>
  <pageMargins left="0.7" right="0.7" top="0.75" bottom="0.75" header="0.3" footer="0.3"/>
  <pageSetup orientation="portrait" horizontalDpi="360" verticalDpi="36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51"/>
  <sheetViews>
    <sheetView zoomScale="80" zoomScaleNormal="80" workbookViewId="0">
      <pane ySplit="1" topLeftCell="A2" activePane="bottomLeft" state="frozen"/>
      <selection pane="bottomLeft" activeCell="I42" sqref="I42"/>
    </sheetView>
  </sheetViews>
  <sheetFormatPr defaultRowHeight="15" x14ac:dyDescent="0.25"/>
  <cols>
    <col min="1" max="1" width="21.7109375" bestFit="1" customWidth="1"/>
    <col min="2" max="2" width="25.140625" customWidth="1"/>
    <col min="3" max="3" width="12.7109375" customWidth="1"/>
    <col min="4" max="4" width="18" bestFit="1" customWidth="1"/>
    <col min="5" max="5" width="33.85546875" customWidth="1"/>
    <col min="6" max="6" width="25.5703125" customWidth="1"/>
    <col min="7" max="7" width="16.85546875" bestFit="1" customWidth="1"/>
    <col min="8" max="8" width="19.5703125" bestFit="1" customWidth="1"/>
    <col min="9" max="9" width="16.85546875" bestFit="1" customWidth="1"/>
    <col min="10" max="10" width="16.7109375" bestFit="1" customWidth="1"/>
    <col min="11" max="11" width="20.140625" bestFit="1" customWidth="1"/>
    <col min="12" max="12" width="34.7109375" bestFit="1" customWidth="1"/>
    <col min="13" max="13" width="19.7109375" customWidth="1"/>
    <col min="14" max="14" width="68" style="130" customWidth="1"/>
    <col min="15" max="15" width="50.140625" customWidth="1"/>
    <col min="16" max="16" width="8" customWidth="1"/>
    <col min="17" max="17" width="15.5703125" customWidth="1"/>
    <col min="18" max="18" width="7.85546875" customWidth="1"/>
    <col min="19" max="19" width="12.5703125" customWidth="1"/>
    <col min="20" max="20" width="12.7109375" customWidth="1"/>
    <col min="21" max="21" width="11" customWidth="1"/>
    <col min="22" max="23" width="11.42578125" customWidth="1"/>
  </cols>
  <sheetData>
    <row r="1" spans="1:23" ht="45" x14ac:dyDescent="0.25">
      <c r="A1" s="25" t="s">
        <v>210</v>
      </c>
      <c r="B1" s="25" t="s">
        <v>487</v>
      </c>
      <c r="C1" s="25" t="s">
        <v>473</v>
      </c>
      <c r="D1" s="25" t="s">
        <v>173</v>
      </c>
      <c r="E1" s="25" t="s">
        <v>174</v>
      </c>
      <c r="F1" s="25" t="s">
        <v>336</v>
      </c>
      <c r="G1" s="25" t="e">
        <f>CONCATENATE(OOB_NAME,-OOB)</f>
        <v>#NAME?</v>
      </c>
      <c r="H1" s="25" t="e">
        <f>CONCATENATE(OOB_NAME,-OOB)</f>
        <v>#NAME?</v>
      </c>
      <c r="I1" s="25" t="e">
        <f>CONCATENATE(Prov_name,-Provisioner)</f>
        <v>#NAME?</v>
      </c>
      <c r="J1" s="25" t="s">
        <v>219</v>
      </c>
      <c r="K1" s="25" t="e">
        <f>CONCATENATE(PrivAPI_name,-PrivAPI)</f>
        <v>#NAME?</v>
      </c>
      <c r="L1" s="25" t="e">
        <f>CONCATENATE(stor_name,-Storage)</f>
        <v>#NAME?</v>
      </c>
      <c r="M1" s="25" t="e">
        <f>CONCATENATE(ceph_clust_name,-CephCluster)</f>
        <v>#NAME?</v>
      </c>
      <c r="N1" s="128" t="s">
        <v>360</v>
      </c>
      <c r="O1" s="25" t="s">
        <v>175</v>
      </c>
      <c r="P1" s="25" t="s">
        <v>176</v>
      </c>
      <c r="Q1" s="25" t="s">
        <v>292</v>
      </c>
      <c r="R1" s="25" t="s">
        <v>289</v>
      </c>
      <c r="S1" s="25" t="s">
        <v>284</v>
      </c>
      <c r="T1" s="25" t="s">
        <v>288</v>
      </c>
      <c r="U1" s="25" t="s">
        <v>287</v>
      </c>
      <c r="V1" s="25" t="s">
        <v>544</v>
      </c>
      <c r="W1" s="25" t="s">
        <v>30</v>
      </c>
    </row>
    <row r="2" spans="1:23" x14ac:dyDescent="0.25">
      <c r="A2" s="25"/>
      <c r="B2" s="25"/>
      <c r="C2" s="25"/>
      <c r="D2" s="25" t="s">
        <v>230</v>
      </c>
      <c r="E2" s="25" t="s">
        <v>230</v>
      </c>
      <c r="F2" s="26"/>
      <c r="G2" s="54" t="s">
        <v>212</v>
      </c>
      <c r="H2" s="54" t="s">
        <v>211</v>
      </c>
      <c r="I2" s="54"/>
      <c r="J2" s="54"/>
      <c r="K2" s="54"/>
      <c r="L2" s="54"/>
      <c r="M2" s="54"/>
      <c r="N2" s="129"/>
      <c r="O2" s="25"/>
      <c r="P2" s="25"/>
      <c r="Q2" s="25"/>
      <c r="R2" s="25"/>
      <c r="S2" s="25"/>
      <c r="T2" s="25"/>
      <c r="U2" s="25"/>
      <c r="V2" s="25"/>
      <c r="W2" s="25"/>
    </row>
    <row r="3" spans="1:23" x14ac:dyDescent="0.25">
      <c r="A3" s="66" t="s">
        <v>207</v>
      </c>
      <c r="B3" s="67"/>
      <c r="C3" s="67"/>
      <c r="D3" s="68" t="s">
        <v>227</v>
      </c>
      <c r="E3" s="68" t="s">
        <v>258</v>
      </c>
      <c r="F3" s="51" t="s">
        <v>710</v>
      </c>
      <c r="G3" s="52" t="s">
        <v>711</v>
      </c>
      <c r="H3" s="44" t="s">
        <v>29</v>
      </c>
      <c r="I3" s="53"/>
      <c r="J3" s="60"/>
      <c r="K3" s="55"/>
      <c r="L3" s="61"/>
      <c r="M3" s="69"/>
      <c r="N3" s="180"/>
      <c r="O3" s="180"/>
      <c r="P3" s="180" t="s">
        <v>177</v>
      </c>
      <c r="Q3" s="180"/>
      <c r="R3" s="180"/>
      <c r="S3" s="180"/>
      <c r="T3" s="180"/>
      <c r="U3" s="180"/>
      <c r="V3" s="98"/>
      <c r="W3" s="98"/>
    </row>
    <row r="4" spans="1:23" ht="15" customHeight="1" x14ac:dyDescent="0.25">
      <c r="A4" s="45" t="s">
        <v>502</v>
      </c>
      <c r="B4" s="46" t="s">
        <v>505</v>
      </c>
      <c r="C4" s="46"/>
      <c r="D4" s="47" t="s">
        <v>206</v>
      </c>
      <c r="E4" s="47" t="s">
        <v>29</v>
      </c>
      <c r="F4" s="36" t="s">
        <v>684</v>
      </c>
      <c r="G4" s="44" t="s">
        <v>29</v>
      </c>
      <c r="H4" s="44" t="s">
        <v>178</v>
      </c>
      <c r="I4" s="37" t="s">
        <v>179</v>
      </c>
      <c r="J4" s="42"/>
      <c r="K4" s="43" t="s">
        <v>180</v>
      </c>
      <c r="L4" s="38" t="s">
        <v>181</v>
      </c>
      <c r="M4" s="39"/>
      <c r="N4" s="99"/>
      <c r="O4" s="99"/>
      <c r="P4" s="99" t="s">
        <v>182</v>
      </c>
      <c r="Q4" s="99"/>
      <c r="R4" s="99" t="s">
        <v>166</v>
      </c>
      <c r="S4" s="99"/>
      <c r="T4" s="99"/>
      <c r="U4" s="99"/>
      <c r="V4" s="98"/>
      <c r="W4" s="98"/>
    </row>
    <row r="5" spans="1:23" ht="15" customHeight="1" x14ac:dyDescent="0.25">
      <c r="A5" s="45" t="s">
        <v>503</v>
      </c>
      <c r="B5" s="46" t="s">
        <v>504</v>
      </c>
      <c r="C5" s="46"/>
      <c r="D5" s="47" t="s">
        <v>206</v>
      </c>
      <c r="E5" s="47" t="s">
        <v>29</v>
      </c>
      <c r="F5" s="36" t="s">
        <v>685</v>
      </c>
      <c r="G5" s="44" t="s">
        <v>29</v>
      </c>
      <c r="H5" s="44" t="s">
        <v>183</v>
      </c>
      <c r="I5" s="37" t="s">
        <v>184</v>
      </c>
      <c r="J5" s="42"/>
      <c r="K5" s="43"/>
      <c r="L5" s="38" t="s">
        <v>185</v>
      </c>
      <c r="M5" s="30"/>
      <c r="N5" s="99"/>
      <c r="O5" s="99"/>
      <c r="P5" s="99" t="s">
        <v>182</v>
      </c>
      <c r="Q5" s="99"/>
      <c r="R5" s="99" t="s">
        <v>166</v>
      </c>
      <c r="S5" s="99"/>
      <c r="T5" s="99"/>
      <c r="U5" s="99"/>
      <c r="V5" s="178"/>
      <c r="W5" s="179"/>
    </row>
    <row r="6" spans="1:23" ht="15" customHeight="1" x14ac:dyDescent="0.25">
      <c r="A6" s="48" t="s">
        <v>205</v>
      </c>
      <c r="B6" s="49" t="s">
        <v>37</v>
      </c>
      <c r="C6" s="49"/>
      <c r="D6" s="48" t="s">
        <v>229</v>
      </c>
      <c r="E6" s="50" t="s">
        <v>248</v>
      </c>
      <c r="F6" s="36" t="s">
        <v>686</v>
      </c>
      <c r="G6" s="44" t="s">
        <v>186</v>
      </c>
      <c r="H6" s="44" t="s">
        <v>187</v>
      </c>
      <c r="I6" s="37" t="s">
        <v>188</v>
      </c>
      <c r="J6" s="42"/>
      <c r="K6" s="43" t="s">
        <v>562</v>
      </c>
      <c r="L6" s="38" t="s">
        <v>189</v>
      </c>
      <c r="M6" s="30"/>
      <c r="N6" s="99" t="str">
        <f>sah_bonding_opts</f>
        <v>mode=802.3ad miimon=100 xmit_hash_policy=layer3+4 lacp_rate=1</v>
      </c>
      <c r="O6" s="173" t="s">
        <v>283</v>
      </c>
      <c r="P6" s="99" t="s">
        <v>282</v>
      </c>
      <c r="Q6" s="99" t="s">
        <v>293</v>
      </c>
      <c r="R6" s="99" t="s">
        <v>294</v>
      </c>
      <c r="S6" s="173" t="s">
        <v>285</v>
      </c>
      <c r="T6" s="99" t="s">
        <v>246</v>
      </c>
      <c r="U6" s="173" t="s">
        <v>286</v>
      </c>
      <c r="V6" s="180"/>
      <c r="W6" s="180"/>
    </row>
    <row r="7" spans="1:23" ht="15" customHeight="1" x14ac:dyDescent="0.25">
      <c r="A7" s="48" t="s">
        <v>530</v>
      </c>
      <c r="B7" s="49" t="s">
        <v>208</v>
      </c>
      <c r="C7" s="49"/>
      <c r="D7" s="48" t="s">
        <v>190</v>
      </c>
      <c r="E7" s="48" t="s">
        <v>29</v>
      </c>
      <c r="F7" s="36" t="s">
        <v>687</v>
      </c>
      <c r="G7" s="44" t="s">
        <v>29</v>
      </c>
      <c r="H7" s="44" t="s">
        <v>191</v>
      </c>
      <c r="I7" s="37" t="s">
        <v>192</v>
      </c>
      <c r="J7" s="42"/>
      <c r="K7" s="43" t="s">
        <v>534</v>
      </c>
      <c r="L7" s="38" t="s">
        <v>193</v>
      </c>
      <c r="M7" s="30"/>
      <c r="N7" s="99"/>
      <c r="O7" s="99"/>
      <c r="P7" s="99"/>
      <c r="Q7" s="99"/>
      <c r="R7" s="99" t="s">
        <v>230</v>
      </c>
      <c r="S7" s="99"/>
      <c r="T7" s="99"/>
      <c r="U7" s="99"/>
      <c r="V7" s="99"/>
      <c r="W7" s="99"/>
    </row>
    <row r="8" spans="1:23" ht="15" customHeight="1" x14ac:dyDescent="0.25">
      <c r="A8" s="48" t="s">
        <v>531</v>
      </c>
      <c r="B8" s="49" t="s">
        <v>209</v>
      </c>
      <c r="C8" s="49"/>
      <c r="D8" s="48" t="s">
        <v>190</v>
      </c>
      <c r="E8" s="48" t="s">
        <v>29</v>
      </c>
      <c r="F8" s="36" t="s">
        <v>688</v>
      </c>
      <c r="G8" s="44" t="s">
        <v>29</v>
      </c>
      <c r="H8" s="44" t="s">
        <v>29</v>
      </c>
      <c r="I8" s="37"/>
      <c r="J8" s="42"/>
      <c r="K8" s="43"/>
      <c r="L8" s="38" t="s">
        <v>194</v>
      </c>
      <c r="M8" s="30"/>
      <c r="N8" s="99"/>
      <c r="O8" s="99"/>
      <c r="P8" s="99"/>
      <c r="Q8" s="99"/>
      <c r="R8" s="99" t="s">
        <v>230</v>
      </c>
      <c r="S8" s="99"/>
      <c r="T8" s="99"/>
      <c r="U8" s="99"/>
      <c r="V8" s="99"/>
      <c r="W8" s="99"/>
    </row>
    <row r="9" spans="1:23" ht="15" customHeight="1" x14ac:dyDescent="0.25">
      <c r="A9" s="28" t="str">
        <f t="shared" ref="A9:A28" si="0">CONCATENATE(B9,"_",C9)</f>
        <v>controller_0</v>
      </c>
      <c r="B9" s="120" t="s">
        <v>545</v>
      </c>
      <c r="C9" s="154">
        <v>0</v>
      </c>
      <c r="D9" s="28" t="s">
        <v>548</v>
      </c>
      <c r="E9" s="181" t="s">
        <v>249</v>
      </c>
      <c r="F9" s="36" t="s">
        <v>689</v>
      </c>
      <c r="G9" s="44" t="s">
        <v>195</v>
      </c>
      <c r="H9" s="116"/>
      <c r="I9" s="37" t="s">
        <v>196</v>
      </c>
      <c r="J9" s="42" t="s">
        <v>295</v>
      </c>
      <c r="K9" s="43" t="s">
        <v>231</v>
      </c>
      <c r="L9" s="38" t="s">
        <v>237</v>
      </c>
      <c r="M9" s="30"/>
      <c r="N9" s="99" t="str">
        <f t="shared" ref="N9:N28" si="1">IF(B9="controller",controller_bond_opts,IF(B9="compute",compute_bond_opts,IF(B9="storage",storage_bond_opts)))</f>
        <v>mode=802.3ad miimon=100 xmit_hash_policy=layer3+4 lacp_rate=1</v>
      </c>
      <c r="O9" s="117" t="s">
        <v>283</v>
      </c>
      <c r="P9" s="99" t="s">
        <v>282</v>
      </c>
      <c r="Q9" s="99" t="s">
        <v>293</v>
      </c>
      <c r="R9" s="99" t="s">
        <v>294</v>
      </c>
      <c r="S9" s="117" t="s">
        <v>285</v>
      </c>
      <c r="T9" s="99" t="s">
        <v>246</v>
      </c>
      <c r="U9" s="117" t="s">
        <v>286</v>
      </c>
      <c r="V9" s="99">
        <v>1115</v>
      </c>
      <c r="W9" s="99"/>
    </row>
    <row r="10" spans="1:23" ht="15" customHeight="1" x14ac:dyDescent="0.25">
      <c r="A10" s="28" t="str">
        <f t="shared" si="0"/>
        <v>controller_1</v>
      </c>
      <c r="B10" s="120" t="s">
        <v>545</v>
      </c>
      <c r="C10" s="154">
        <v>1</v>
      </c>
      <c r="D10" s="28" t="s">
        <v>548</v>
      </c>
      <c r="E10" s="181" t="s">
        <v>250</v>
      </c>
      <c r="F10" s="36" t="s">
        <v>690</v>
      </c>
      <c r="G10" s="44" t="s">
        <v>197</v>
      </c>
      <c r="H10" s="116"/>
      <c r="I10" s="37" t="s">
        <v>196</v>
      </c>
      <c r="J10" s="42" t="s">
        <v>296</v>
      </c>
      <c r="K10" s="43" t="s">
        <v>232</v>
      </c>
      <c r="L10" s="38" t="s">
        <v>238</v>
      </c>
      <c r="M10" s="30"/>
      <c r="N10" s="99" t="str">
        <f t="shared" si="1"/>
        <v>mode=802.3ad miimon=100 xmit_hash_policy=layer3+4 lacp_rate=1</v>
      </c>
      <c r="O10" s="117" t="s">
        <v>283</v>
      </c>
      <c r="P10" s="99" t="s">
        <v>282</v>
      </c>
      <c r="Q10" s="99" t="s">
        <v>293</v>
      </c>
      <c r="R10" s="99" t="s">
        <v>294</v>
      </c>
      <c r="S10" s="117" t="s">
        <v>285</v>
      </c>
      <c r="T10" s="99" t="s">
        <v>246</v>
      </c>
      <c r="U10" s="117" t="s">
        <v>286</v>
      </c>
      <c r="V10" s="99">
        <v>1115</v>
      </c>
      <c r="W10" s="99"/>
    </row>
    <row r="11" spans="1:23" ht="15" customHeight="1" x14ac:dyDescent="0.25">
      <c r="A11" s="28" t="str">
        <f t="shared" si="0"/>
        <v>controller_2</v>
      </c>
      <c r="B11" s="120" t="s">
        <v>545</v>
      </c>
      <c r="C11" s="154">
        <v>2</v>
      </c>
      <c r="D11" s="28" t="s">
        <v>548</v>
      </c>
      <c r="E11" s="181" t="s">
        <v>251</v>
      </c>
      <c r="F11" s="36" t="s">
        <v>691</v>
      </c>
      <c r="G11" s="44" t="s">
        <v>198</v>
      </c>
      <c r="H11" s="116"/>
      <c r="I11" s="37" t="s">
        <v>196</v>
      </c>
      <c r="J11" s="42" t="s">
        <v>297</v>
      </c>
      <c r="K11" s="43" t="s">
        <v>233</v>
      </c>
      <c r="L11" s="38" t="s">
        <v>239</v>
      </c>
      <c r="M11" s="30"/>
      <c r="N11" s="99" t="str">
        <f t="shared" si="1"/>
        <v>mode=802.3ad miimon=100 xmit_hash_policy=layer3+4 lacp_rate=1</v>
      </c>
      <c r="O11" s="117" t="s">
        <v>283</v>
      </c>
      <c r="P11" s="99" t="s">
        <v>282</v>
      </c>
      <c r="Q11" s="99" t="s">
        <v>293</v>
      </c>
      <c r="R11" s="99" t="s">
        <v>294</v>
      </c>
      <c r="S11" s="117" t="s">
        <v>285</v>
      </c>
      <c r="T11" s="99" t="s">
        <v>246</v>
      </c>
      <c r="U11" s="117" t="s">
        <v>286</v>
      </c>
      <c r="V11" s="99">
        <v>1115</v>
      </c>
      <c r="W11" s="99"/>
    </row>
    <row r="12" spans="1:23" ht="15" customHeight="1" x14ac:dyDescent="0.25">
      <c r="A12" s="28" t="str">
        <f t="shared" si="0"/>
        <v>compute_0</v>
      </c>
      <c r="B12" s="120" t="s">
        <v>546</v>
      </c>
      <c r="C12" s="154">
        <v>0</v>
      </c>
      <c r="D12" s="28" t="s">
        <v>548</v>
      </c>
      <c r="E12" s="181" t="s">
        <v>252</v>
      </c>
      <c r="F12" s="36" t="s">
        <v>692</v>
      </c>
      <c r="G12" s="44" t="s">
        <v>199</v>
      </c>
      <c r="H12" s="116"/>
      <c r="I12" s="37" t="s">
        <v>196</v>
      </c>
      <c r="J12" s="42" t="s">
        <v>298</v>
      </c>
      <c r="K12" s="43" t="s">
        <v>234</v>
      </c>
      <c r="L12" s="38" t="s">
        <v>240</v>
      </c>
      <c r="M12" s="30"/>
      <c r="N12" s="99" t="str">
        <f t="shared" si="1"/>
        <v>mode=802.3ad miimon=100 xmit_hash_policy=layer3+4 lacp_rate=1</v>
      </c>
      <c r="O12" s="117" t="s">
        <v>283</v>
      </c>
      <c r="P12" s="99" t="s">
        <v>282</v>
      </c>
      <c r="Q12" s="99" t="s">
        <v>293</v>
      </c>
      <c r="R12" s="99" t="s">
        <v>294</v>
      </c>
      <c r="S12" s="117" t="s">
        <v>285</v>
      </c>
      <c r="T12" s="99" t="s">
        <v>246</v>
      </c>
      <c r="U12" s="117" t="s">
        <v>286</v>
      </c>
      <c r="V12" s="99">
        <v>2233</v>
      </c>
      <c r="W12" s="99"/>
    </row>
    <row r="13" spans="1:23" ht="15" customHeight="1" x14ac:dyDescent="0.25">
      <c r="A13" s="28" t="str">
        <f t="shared" si="0"/>
        <v>compute_1</v>
      </c>
      <c r="B13" s="120" t="s">
        <v>546</v>
      </c>
      <c r="C13" s="154">
        <v>1</v>
      </c>
      <c r="D13" s="28" t="s">
        <v>548</v>
      </c>
      <c r="E13" s="181" t="s">
        <v>253</v>
      </c>
      <c r="F13" s="36" t="s">
        <v>693</v>
      </c>
      <c r="G13" s="44" t="s">
        <v>200</v>
      </c>
      <c r="H13" s="116"/>
      <c r="I13" s="37" t="s">
        <v>196</v>
      </c>
      <c r="J13" s="42" t="s">
        <v>299</v>
      </c>
      <c r="K13" s="43" t="s">
        <v>235</v>
      </c>
      <c r="L13" s="38" t="s">
        <v>241</v>
      </c>
      <c r="M13" s="30"/>
      <c r="N13" s="99" t="str">
        <f t="shared" si="1"/>
        <v>mode=802.3ad miimon=100 xmit_hash_policy=layer3+4 lacp_rate=1</v>
      </c>
      <c r="O13" s="117" t="s">
        <v>283</v>
      </c>
      <c r="P13" s="99" t="s">
        <v>282</v>
      </c>
      <c r="Q13" s="99" t="s">
        <v>293</v>
      </c>
      <c r="R13" s="99" t="s">
        <v>294</v>
      </c>
      <c r="S13" s="117" t="s">
        <v>285</v>
      </c>
      <c r="T13" s="99" t="s">
        <v>246</v>
      </c>
      <c r="U13" s="117" t="s">
        <v>286</v>
      </c>
      <c r="V13" s="99">
        <v>2233</v>
      </c>
      <c r="W13" s="99"/>
    </row>
    <row r="14" spans="1:23" ht="15" customHeight="1" x14ac:dyDescent="0.25">
      <c r="A14" s="28" t="str">
        <f t="shared" si="0"/>
        <v>compute_2</v>
      </c>
      <c r="B14" s="120" t="s">
        <v>546</v>
      </c>
      <c r="C14" s="154">
        <v>2</v>
      </c>
      <c r="D14" s="28" t="s">
        <v>548</v>
      </c>
      <c r="E14" s="181" t="s">
        <v>254</v>
      </c>
      <c r="F14" s="36" t="s">
        <v>694</v>
      </c>
      <c r="G14" s="44" t="s">
        <v>201</v>
      </c>
      <c r="H14" s="116"/>
      <c r="I14" s="37" t="s">
        <v>196</v>
      </c>
      <c r="J14" s="42" t="s">
        <v>300</v>
      </c>
      <c r="K14" s="43" t="s">
        <v>236</v>
      </c>
      <c r="L14" s="38" t="s">
        <v>242</v>
      </c>
      <c r="M14" s="30"/>
      <c r="N14" s="99" t="str">
        <f t="shared" si="1"/>
        <v>mode=802.3ad miimon=100 xmit_hash_policy=layer3+4 lacp_rate=1</v>
      </c>
      <c r="O14" s="117" t="s">
        <v>283</v>
      </c>
      <c r="P14" s="99" t="s">
        <v>282</v>
      </c>
      <c r="Q14" s="99" t="s">
        <v>293</v>
      </c>
      <c r="R14" s="99" t="s">
        <v>294</v>
      </c>
      <c r="S14" s="117" t="s">
        <v>285</v>
      </c>
      <c r="T14" s="99" t="s">
        <v>246</v>
      </c>
      <c r="U14" s="117" t="s">
        <v>286</v>
      </c>
      <c r="V14" s="99">
        <v>2233</v>
      </c>
      <c r="W14" s="99"/>
    </row>
    <row r="15" spans="1:23" ht="15" customHeight="1" x14ac:dyDescent="0.25">
      <c r="A15" s="28" t="str">
        <f t="shared" si="0"/>
        <v>storage_0</v>
      </c>
      <c r="B15" s="121" t="s">
        <v>547</v>
      </c>
      <c r="C15" s="154">
        <v>0</v>
      </c>
      <c r="D15" s="28" t="s">
        <v>549</v>
      </c>
      <c r="E15" s="181" t="s">
        <v>255</v>
      </c>
      <c r="F15" s="36" t="s">
        <v>695</v>
      </c>
      <c r="G15" s="44" t="s">
        <v>202</v>
      </c>
      <c r="H15" s="116"/>
      <c r="I15" s="37" t="s">
        <v>196</v>
      </c>
      <c r="J15" s="42"/>
      <c r="K15" s="43"/>
      <c r="L15" s="38" t="s">
        <v>243</v>
      </c>
      <c r="M15" s="30" t="s">
        <v>565</v>
      </c>
      <c r="N15" s="99" t="str">
        <f t="shared" si="1"/>
        <v>mode=802.3ad miimon=100 xmit_hash_policy=layer3+4 lacp_rate=1</v>
      </c>
      <c r="O15" s="117" t="s">
        <v>290</v>
      </c>
      <c r="P15" s="99" t="s">
        <v>282</v>
      </c>
      <c r="Q15" s="99" t="s">
        <v>291</v>
      </c>
      <c r="R15" s="99" t="s">
        <v>294</v>
      </c>
      <c r="S15" s="117" t="s">
        <v>285</v>
      </c>
      <c r="T15" s="99" t="s">
        <v>247</v>
      </c>
      <c r="U15" s="117" t="s">
        <v>286</v>
      </c>
      <c r="V15" s="99">
        <v>223</v>
      </c>
      <c r="W15" s="99"/>
    </row>
    <row r="16" spans="1:23" ht="15" customHeight="1" x14ac:dyDescent="0.25">
      <c r="A16" s="28" t="str">
        <f t="shared" si="0"/>
        <v>storage_1</v>
      </c>
      <c r="B16" s="121" t="s">
        <v>547</v>
      </c>
      <c r="C16" s="154">
        <v>1</v>
      </c>
      <c r="D16" s="28" t="s">
        <v>549</v>
      </c>
      <c r="E16" s="181" t="s">
        <v>256</v>
      </c>
      <c r="F16" s="36" t="s">
        <v>696</v>
      </c>
      <c r="G16" s="44" t="s">
        <v>203</v>
      </c>
      <c r="H16" s="116"/>
      <c r="I16" s="37" t="s">
        <v>196</v>
      </c>
      <c r="J16" s="42"/>
      <c r="K16" s="43"/>
      <c r="L16" s="38" t="s">
        <v>244</v>
      </c>
      <c r="M16" s="30" t="s">
        <v>566</v>
      </c>
      <c r="N16" s="99" t="str">
        <f t="shared" si="1"/>
        <v>mode=802.3ad miimon=100 xmit_hash_policy=layer3+4 lacp_rate=1</v>
      </c>
      <c r="O16" s="117" t="s">
        <v>290</v>
      </c>
      <c r="P16" s="99" t="s">
        <v>282</v>
      </c>
      <c r="Q16" s="99" t="s">
        <v>291</v>
      </c>
      <c r="R16" s="99" t="s">
        <v>294</v>
      </c>
      <c r="S16" s="117" t="s">
        <v>285</v>
      </c>
      <c r="T16" s="99" t="s">
        <v>247</v>
      </c>
      <c r="U16" s="117" t="s">
        <v>286</v>
      </c>
      <c r="V16" s="99">
        <v>223</v>
      </c>
      <c r="W16" s="99"/>
    </row>
    <row r="17" spans="1:23" ht="15" customHeight="1" x14ac:dyDescent="0.25">
      <c r="A17" s="28" t="str">
        <f t="shared" si="0"/>
        <v>storage_2</v>
      </c>
      <c r="B17" s="121" t="s">
        <v>547</v>
      </c>
      <c r="C17" s="154">
        <v>2</v>
      </c>
      <c r="D17" s="28" t="s">
        <v>549</v>
      </c>
      <c r="E17" s="181" t="s">
        <v>257</v>
      </c>
      <c r="F17" s="36" t="s">
        <v>697</v>
      </c>
      <c r="G17" s="44" t="s">
        <v>204</v>
      </c>
      <c r="H17" s="116"/>
      <c r="I17" s="37" t="s">
        <v>196</v>
      </c>
      <c r="J17" s="42"/>
      <c r="K17" s="43"/>
      <c r="L17" s="38" t="s">
        <v>245</v>
      </c>
      <c r="M17" s="30" t="s">
        <v>567</v>
      </c>
      <c r="N17" s="99" t="str">
        <f t="shared" si="1"/>
        <v>mode=802.3ad miimon=100 xmit_hash_policy=layer3+4 lacp_rate=1</v>
      </c>
      <c r="O17" s="117" t="s">
        <v>290</v>
      </c>
      <c r="P17" s="99" t="s">
        <v>282</v>
      </c>
      <c r="Q17" s="99" t="s">
        <v>291</v>
      </c>
      <c r="R17" s="99" t="s">
        <v>294</v>
      </c>
      <c r="S17" s="117" t="s">
        <v>285</v>
      </c>
      <c r="T17" s="99" t="s">
        <v>247</v>
      </c>
      <c r="U17" s="117" t="s">
        <v>286</v>
      </c>
      <c r="V17" s="99">
        <v>223</v>
      </c>
      <c r="W17" s="99"/>
    </row>
    <row r="18" spans="1:23" ht="15" customHeight="1" x14ac:dyDescent="0.25">
      <c r="A18" s="28" t="str">
        <f t="shared" si="0"/>
        <v>open_0</v>
      </c>
      <c r="B18" s="120" t="s">
        <v>561</v>
      </c>
      <c r="C18" s="155">
        <v>0</v>
      </c>
      <c r="D18" s="28" t="s">
        <v>230</v>
      </c>
      <c r="E18" s="181" t="s">
        <v>230</v>
      </c>
      <c r="F18" s="36" t="s">
        <v>698</v>
      </c>
      <c r="G18" s="44" t="s">
        <v>476</v>
      </c>
      <c r="H18" s="116"/>
      <c r="I18" s="37" t="s">
        <v>196</v>
      </c>
      <c r="J18" s="42"/>
      <c r="K18" s="65"/>
      <c r="L18" s="38" t="s">
        <v>550</v>
      </c>
      <c r="M18" s="172"/>
      <c r="N18" s="99" t="b">
        <f t="shared" si="1"/>
        <v>0</v>
      </c>
      <c r="O18" s="117"/>
      <c r="P18" s="99"/>
      <c r="Q18" s="99"/>
      <c r="R18" s="99"/>
      <c r="S18" s="117"/>
      <c r="T18" s="99"/>
      <c r="U18" s="117"/>
      <c r="V18" s="99"/>
      <c r="W18" s="98"/>
    </row>
    <row r="19" spans="1:23" ht="15" customHeight="1" x14ac:dyDescent="0.25">
      <c r="A19" s="28" t="str">
        <f t="shared" si="0"/>
        <v>open_0</v>
      </c>
      <c r="B19" s="120" t="s">
        <v>561</v>
      </c>
      <c r="C19" s="155">
        <v>0</v>
      </c>
      <c r="D19" s="28" t="s">
        <v>230</v>
      </c>
      <c r="E19" s="181" t="s">
        <v>230</v>
      </c>
      <c r="F19" s="36" t="s">
        <v>699</v>
      </c>
      <c r="G19" s="44" t="s">
        <v>349</v>
      </c>
      <c r="H19" s="116"/>
      <c r="I19" s="37" t="s">
        <v>196</v>
      </c>
      <c r="J19" s="42"/>
      <c r="K19" s="65"/>
      <c r="L19" s="38" t="s">
        <v>551</v>
      </c>
      <c r="M19" s="172"/>
      <c r="N19" s="99" t="b">
        <f t="shared" si="1"/>
        <v>0</v>
      </c>
      <c r="O19" s="117"/>
      <c r="P19" s="99"/>
      <c r="Q19" s="99"/>
      <c r="R19" s="99"/>
      <c r="S19" s="117"/>
      <c r="T19" s="99"/>
      <c r="U19" s="117"/>
      <c r="V19" s="99"/>
      <c r="W19" s="98"/>
    </row>
    <row r="20" spans="1:23" ht="15" customHeight="1" x14ac:dyDescent="0.25">
      <c r="A20" s="28" t="str">
        <f t="shared" si="0"/>
        <v>open_0</v>
      </c>
      <c r="B20" s="120" t="s">
        <v>561</v>
      </c>
      <c r="C20" s="155">
        <v>0</v>
      </c>
      <c r="D20" s="28" t="s">
        <v>230</v>
      </c>
      <c r="E20" s="181" t="s">
        <v>230</v>
      </c>
      <c r="F20" s="36" t="s">
        <v>700</v>
      </c>
      <c r="G20" s="44" t="s">
        <v>477</v>
      </c>
      <c r="H20" s="116"/>
      <c r="I20" s="37" t="s">
        <v>196</v>
      </c>
      <c r="J20" s="42"/>
      <c r="K20" s="65"/>
      <c r="L20" s="38" t="s">
        <v>552</v>
      </c>
      <c r="M20" s="172"/>
      <c r="N20" s="99" t="b">
        <f t="shared" si="1"/>
        <v>0</v>
      </c>
      <c r="O20" s="117"/>
      <c r="P20" s="99"/>
      <c r="Q20" s="99"/>
      <c r="R20" s="99"/>
      <c r="S20" s="117"/>
      <c r="T20" s="99"/>
      <c r="U20" s="117"/>
      <c r="V20" s="99"/>
      <c r="W20" s="98"/>
    </row>
    <row r="21" spans="1:23" ht="15" customHeight="1" x14ac:dyDescent="0.25">
      <c r="A21" s="28" t="str">
        <f t="shared" si="0"/>
        <v>open_0</v>
      </c>
      <c r="B21" s="120" t="s">
        <v>561</v>
      </c>
      <c r="C21" s="155">
        <v>0</v>
      </c>
      <c r="D21" s="28" t="s">
        <v>230</v>
      </c>
      <c r="E21" s="181" t="s">
        <v>230</v>
      </c>
      <c r="F21" s="36" t="s">
        <v>701</v>
      </c>
      <c r="G21" s="44" t="s">
        <v>478</v>
      </c>
      <c r="H21" s="116"/>
      <c r="I21" s="37" t="s">
        <v>196</v>
      </c>
      <c r="J21" s="42"/>
      <c r="K21" s="65"/>
      <c r="L21" s="38" t="s">
        <v>553</v>
      </c>
      <c r="M21" s="172"/>
      <c r="N21" s="99" t="b">
        <f t="shared" si="1"/>
        <v>0</v>
      </c>
      <c r="O21" s="117"/>
      <c r="P21" s="99"/>
      <c r="Q21" s="99"/>
      <c r="R21" s="99"/>
      <c r="S21" s="117"/>
      <c r="T21" s="99"/>
      <c r="U21" s="117"/>
      <c r="V21" s="99"/>
      <c r="W21" s="98"/>
    </row>
    <row r="22" spans="1:23" ht="15" customHeight="1" x14ac:dyDescent="0.25">
      <c r="A22" s="28" t="str">
        <f t="shared" si="0"/>
        <v>open_0</v>
      </c>
      <c r="B22" s="120" t="s">
        <v>561</v>
      </c>
      <c r="C22" s="155">
        <v>0</v>
      </c>
      <c r="D22" s="28" t="s">
        <v>230</v>
      </c>
      <c r="E22" s="181" t="s">
        <v>230</v>
      </c>
      <c r="F22" s="36" t="s">
        <v>702</v>
      </c>
      <c r="G22" s="44" t="s">
        <v>479</v>
      </c>
      <c r="H22" s="116"/>
      <c r="I22" s="37" t="s">
        <v>196</v>
      </c>
      <c r="J22" s="42"/>
      <c r="K22" s="65"/>
      <c r="L22" s="38" t="s">
        <v>554</v>
      </c>
      <c r="M22" s="172"/>
      <c r="N22" s="99" t="b">
        <f t="shared" si="1"/>
        <v>0</v>
      </c>
      <c r="O22" s="117"/>
      <c r="P22" s="99"/>
      <c r="Q22" s="99"/>
      <c r="R22" s="99"/>
      <c r="S22" s="117"/>
      <c r="T22" s="99"/>
      <c r="U22" s="117"/>
      <c r="V22" s="99"/>
      <c r="W22" s="98"/>
    </row>
    <row r="23" spans="1:23" ht="15" customHeight="1" x14ac:dyDescent="0.25">
      <c r="A23" s="28" t="str">
        <f t="shared" si="0"/>
        <v>open_0</v>
      </c>
      <c r="B23" s="121" t="s">
        <v>561</v>
      </c>
      <c r="C23" s="154">
        <v>0</v>
      </c>
      <c r="D23" s="28" t="s">
        <v>230</v>
      </c>
      <c r="E23" s="181" t="s">
        <v>230</v>
      </c>
      <c r="F23" s="36" t="s">
        <v>703</v>
      </c>
      <c r="G23" s="44" t="s">
        <v>481</v>
      </c>
      <c r="H23" s="116"/>
      <c r="I23" s="37" t="s">
        <v>196</v>
      </c>
      <c r="J23" s="42"/>
      <c r="K23" s="65"/>
      <c r="L23" s="38" t="s">
        <v>555</v>
      </c>
      <c r="M23" s="30" t="s">
        <v>230</v>
      </c>
      <c r="N23" s="99" t="b">
        <f t="shared" si="1"/>
        <v>0</v>
      </c>
      <c r="O23" s="117"/>
      <c r="P23" s="99"/>
      <c r="Q23" s="99"/>
      <c r="R23" s="99"/>
      <c r="S23" s="117"/>
      <c r="T23" s="99"/>
      <c r="U23" s="117"/>
      <c r="V23" s="99"/>
      <c r="W23" s="98"/>
    </row>
    <row r="24" spans="1:23" ht="15" customHeight="1" x14ac:dyDescent="0.25">
      <c r="A24" s="28" t="str">
        <f t="shared" si="0"/>
        <v>open_0</v>
      </c>
      <c r="B24" s="121" t="s">
        <v>561</v>
      </c>
      <c r="C24" s="154">
        <v>0</v>
      </c>
      <c r="D24" s="28" t="s">
        <v>230</v>
      </c>
      <c r="E24" s="181" t="s">
        <v>230</v>
      </c>
      <c r="F24" s="36" t="s">
        <v>704</v>
      </c>
      <c r="G24" s="44" t="s">
        <v>482</v>
      </c>
      <c r="H24" s="116"/>
      <c r="I24" s="37" t="s">
        <v>196</v>
      </c>
      <c r="J24" s="42"/>
      <c r="K24" s="65"/>
      <c r="L24" s="38" t="s">
        <v>556</v>
      </c>
      <c r="M24" s="30" t="s">
        <v>230</v>
      </c>
      <c r="N24" s="99" t="b">
        <f t="shared" si="1"/>
        <v>0</v>
      </c>
      <c r="O24" s="117"/>
      <c r="P24" s="99"/>
      <c r="Q24" s="99"/>
      <c r="R24" s="99"/>
      <c r="S24" s="117"/>
      <c r="T24" s="99"/>
      <c r="U24" s="117"/>
      <c r="V24" s="99"/>
      <c r="W24" s="98"/>
    </row>
    <row r="25" spans="1:23" ht="15" customHeight="1" x14ac:dyDescent="0.25">
      <c r="A25" s="28" t="str">
        <f t="shared" si="0"/>
        <v>open_0</v>
      </c>
      <c r="B25" s="121" t="s">
        <v>561</v>
      </c>
      <c r="C25" s="154">
        <v>0</v>
      </c>
      <c r="D25" s="28" t="s">
        <v>230</v>
      </c>
      <c r="E25" s="181" t="s">
        <v>230</v>
      </c>
      <c r="F25" s="36" t="s">
        <v>705</v>
      </c>
      <c r="G25" s="44" t="s">
        <v>483</v>
      </c>
      <c r="H25" s="116"/>
      <c r="I25" s="37" t="s">
        <v>196</v>
      </c>
      <c r="J25" s="42"/>
      <c r="K25" s="65"/>
      <c r="L25" s="38" t="s">
        <v>557</v>
      </c>
      <c r="M25" s="30" t="s">
        <v>230</v>
      </c>
      <c r="N25" s="99" t="b">
        <f t="shared" si="1"/>
        <v>0</v>
      </c>
      <c r="O25" s="117"/>
      <c r="P25" s="99"/>
      <c r="Q25" s="99"/>
      <c r="R25" s="99"/>
      <c r="S25" s="117"/>
      <c r="T25" s="99"/>
      <c r="U25" s="117"/>
      <c r="V25" s="99"/>
      <c r="W25" s="98"/>
    </row>
    <row r="26" spans="1:23" ht="15" customHeight="1" x14ac:dyDescent="0.25">
      <c r="A26" s="28" t="str">
        <f t="shared" si="0"/>
        <v>open_0</v>
      </c>
      <c r="B26" s="121" t="s">
        <v>561</v>
      </c>
      <c r="C26" s="154">
        <v>0</v>
      </c>
      <c r="D26" s="28" t="s">
        <v>230</v>
      </c>
      <c r="E26" s="181" t="s">
        <v>230</v>
      </c>
      <c r="F26" s="36" t="s">
        <v>706</v>
      </c>
      <c r="G26" s="44" t="s">
        <v>484</v>
      </c>
      <c r="H26" s="116"/>
      <c r="I26" s="37" t="s">
        <v>196</v>
      </c>
      <c r="J26" s="42"/>
      <c r="K26" s="65"/>
      <c r="L26" s="38" t="s">
        <v>558</v>
      </c>
      <c r="M26" s="30" t="s">
        <v>230</v>
      </c>
      <c r="N26" s="99" t="b">
        <f t="shared" si="1"/>
        <v>0</v>
      </c>
      <c r="O26" s="117"/>
      <c r="P26" s="99"/>
      <c r="Q26" s="99"/>
      <c r="R26" s="99"/>
      <c r="S26" s="117"/>
      <c r="T26" s="99"/>
      <c r="U26" s="117"/>
      <c r="V26" s="99"/>
      <c r="W26" s="98"/>
    </row>
    <row r="27" spans="1:23" ht="15" customHeight="1" x14ac:dyDescent="0.25">
      <c r="A27" s="28" t="str">
        <f t="shared" si="0"/>
        <v>open_0</v>
      </c>
      <c r="B27" s="121" t="s">
        <v>561</v>
      </c>
      <c r="C27" s="154">
        <v>0</v>
      </c>
      <c r="D27" s="28" t="s">
        <v>230</v>
      </c>
      <c r="E27" s="181" t="s">
        <v>230</v>
      </c>
      <c r="F27" s="36" t="s">
        <v>707</v>
      </c>
      <c r="G27" s="44" t="s">
        <v>485</v>
      </c>
      <c r="H27" s="116"/>
      <c r="I27" s="37" t="s">
        <v>196</v>
      </c>
      <c r="J27" s="42"/>
      <c r="K27" s="65"/>
      <c r="L27" s="38" t="s">
        <v>559</v>
      </c>
      <c r="M27" s="172"/>
      <c r="N27" s="99" t="b">
        <f t="shared" si="1"/>
        <v>0</v>
      </c>
      <c r="O27" s="117"/>
      <c r="P27" s="99"/>
      <c r="Q27" s="99"/>
      <c r="R27" s="99"/>
      <c r="S27" s="117"/>
      <c r="T27" s="99"/>
      <c r="U27" s="117"/>
      <c r="V27" s="99"/>
      <c r="W27" s="98"/>
    </row>
    <row r="28" spans="1:23" ht="15" customHeight="1" x14ac:dyDescent="0.25">
      <c r="A28" s="28" t="str">
        <f t="shared" si="0"/>
        <v>open_0</v>
      </c>
      <c r="B28" s="121" t="s">
        <v>561</v>
      </c>
      <c r="C28" s="154">
        <v>0</v>
      </c>
      <c r="D28" s="28" t="s">
        <v>230</v>
      </c>
      <c r="E28" s="28" t="s">
        <v>230</v>
      </c>
      <c r="F28" s="36" t="s">
        <v>708</v>
      </c>
      <c r="G28" s="44" t="s">
        <v>486</v>
      </c>
      <c r="H28" s="116"/>
      <c r="I28" s="37" t="s">
        <v>196</v>
      </c>
      <c r="J28" s="42"/>
      <c r="K28" s="65"/>
      <c r="L28" s="38" t="s">
        <v>560</v>
      </c>
      <c r="M28" s="172" t="s">
        <v>230</v>
      </c>
      <c r="N28" s="99" t="b">
        <f t="shared" si="1"/>
        <v>0</v>
      </c>
      <c r="O28" s="117"/>
      <c r="P28" s="99"/>
      <c r="Q28" s="99"/>
      <c r="R28" s="99"/>
      <c r="S28" s="117"/>
      <c r="T28" s="99"/>
      <c r="U28" s="117"/>
      <c r="V28" s="99"/>
      <c r="W28" s="98"/>
    </row>
    <row r="29" spans="1:23" ht="15" customHeight="1" x14ac:dyDescent="0.25">
      <c r="A29" s="118"/>
      <c r="B29" s="115"/>
      <c r="C29" s="118" t="s">
        <v>230</v>
      </c>
      <c r="D29" s="118"/>
      <c r="E29" s="118"/>
      <c r="F29" s="118"/>
      <c r="G29" s="118"/>
      <c r="H29" s="118"/>
      <c r="I29" s="118"/>
      <c r="J29" s="118"/>
      <c r="K29" s="119"/>
      <c r="L29" s="119"/>
      <c r="M29" s="119"/>
      <c r="N29" s="176"/>
      <c r="O29" s="175"/>
      <c r="P29" s="174"/>
      <c r="Q29" s="174"/>
      <c r="R29" s="174"/>
      <c r="S29" s="175"/>
      <c r="T29" s="174"/>
      <c r="U29" s="175"/>
      <c r="V29" s="174"/>
      <c r="W29" s="177"/>
    </row>
    <row r="30" spans="1:23" ht="15" customHeight="1" x14ac:dyDescent="0.25">
      <c r="A30" s="118"/>
      <c r="B30" s="118"/>
      <c r="C30" s="118"/>
      <c r="D30" s="118"/>
      <c r="E30" s="118"/>
      <c r="F30" s="118"/>
      <c r="G30" s="118"/>
      <c r="H30" s="118"/>
      <c r="I30" s="118"/>
      <c r="J30" s="118"/>
      <c r="K30" s="119"/>
      <c r="L30" s="119"/>
      <c r="M30" s="119"/>
      <c r="N30" s="119"/>
      <c r="O30" s="118"/>
      <c r="P30" s="118"/>
      <c r="Q30" s="118"/>
      <c r="R30" s="118"/>
      <c r="S30" s="118"/>
      <c r="T30" s="118"/>
      <c r="U30" s="118"/>
      <c r="V30" s="115"/>
      <c r="W30" s="115"/>
    </row>
    <row r="31" spans="1:23" ht="15" customHeight="1" x14ac:dyDescent="0.25">
      <c r="A31" s="118"/>
      <c r="B31" s="118"/>
      <c r="C31" s="118"/>
      <c r="D31" s="118"/>
      <c r="E31" s="118"/>
      <c r="F31" s="118"/>
      <c r="G31" s="118"/>
      <c r="H31" s="118"/>
      <c r="I31" s="118"/>
      <c r="J31" s="118"/>
      <c r="K31" s="119"/>
      <c r="L31" s="119"/>
      <c r="M31" s="119"/>
      <c r="N31" s="119"/>
      <c r="O31" s="118"/>
      <c r="P31" s="118"/>
      <c r="Q31" s="118"/>
      <c r="R31" s="118"/>
      <c r="S31" s="118"/>
      <c r="T31" s="118"/>
      <c r="U31" s="118"/>
      <c r="V31" s="115"/>
      <c r="W31" s="115"/>
    </row>
    <row r="32" spans="1:23" ht="15" customHeight="1" x14ac:dyDescent="0.25">
      <c r="A32" s="118"/>
      <c r="B32" s="118"/>
      <c r="C32" s="118"/>
      <c r="D32" s="118"/>
      <c r="E32" s="118"/>
      <c r="F32" s="118"/>
      <c r="G32" s="163"/>
      <c r="H32" s="163"/>
      <c r="I32" s="163"/>
      <c r="J32" s="163"/>
      <c r="K32" s="119"/>
      <c r="L32" s="119"/>
      <c r="M32" s="119"/>
      <c r="N32" s="119"/>
      <c r="O32" s="163"/>
      <c r="P32" s="163"/>
      <c r="Q32" s="163"/>
      <c r="R32" s="163"/>
      <c r="S32" s="163"/>
      <c r="T32" s="163"/>
      <c r="U32" s="163"/>
      <c r="V32" s="122"/>
      <c r="W32" s="122"/>
    </row>
    <row r="33" spans="1:23" ht="15" customHeight="1" x14ac:dyDescent="0.25">
      <c r="A33" s="168"/>
      <c r="B33" s="192"/>
      <c r="C33" s="192"/>
      <c r="D33" s="168"/>
      <c r="E33" s="168"/>
      <c r="F33" s="165"/>
      <c r="G33" s="165"/>
      <c r="H33" s="164"/>
      <c r="I33" s="165"/>
      <c r="J33" s="165"/>
      <c r="K33" s="166"/>
      <c r="L33" s="166"/>
      <c r="M33" s="166"/>
      <c r="N33" s="166"/>
      <c r="O33" s="167"/>
      <c r="P33" s="166"/>
      <c r="Q33" s="166"/>
      <c r="R33" s="165"/>
      <c r="S33" s="165"/>
      <c r="T33" s="165"/>
      <c r="U33" s="165"/>
      <c r="V33" s="168"/>
      <c r="W33" s="168"/>
    </row>
    <row r="34" spans="1:23" ht="15" customHeight="1" x14ac:dyDescent="0.25">
      <c r="A34" s="188"/>
      <c r="B34" s="189"/>
      <c r="C34" s="189"/>
      <c r="D34" s="188"/>
      <c r="E34" s="188"/>
      <c r="F34" s="187"/>
      <c r="G34" s="122"/>
      <c r="H34" s="190"/>
      <c r="I34" s="122"/>
      <c r="J34" s="122"/>
      <c r="K34" s="17"/>
      <c r="L34" s="17"/>
      <c r="M34" s="17"/>
      <c r="N34" s="17"/>
      <c r="O34" s="191"/>
      <c r="P34" s="17"/>
      <c r="Q34" s="17"/>
      <c r="R34" s="122"/>
      <c r="S34" s="122"/>
      <c r="T34" s="122"/>
      <c r="U34" s="122"/>
      <c r="V34" s="18"/>
      <c r="W34" s="18"/>
    </row>
    <row r="35" spans="1:23" s="16" customFormat="1" x14ac:dyDescent="0.25">
      <c r="A35" s="211" t="s">
        <v>224</v>
      </c>
      <c r="B35" s="212"/>
      <c r="C35" s="212"/>
      <c r="D35" s="212"/>
      <c r="E35" s="213"/>
      <c r="F35" s="157" t="s">
        <v>692</v>
      </c>
      <c r="G35" s="156"/>
      <c r="H35" s="80"/>
      <c r="I35" s="41"/>
      <c r="J35" s="41"/>
      <c r="K35" s="18"/>
      <c r="L35" s="18"/>
      <c r="M35" s="18"/>
      <c r="N35" s="169"/>
      <c r="O35" s="18"/>
      <c r="P35" s="18"/>
      <c r="Q35" s="18"/>
      <c r="R35" s="18"/>
      <c r="S35" s="18"/>
      <c r="T35" s="18"/>
      <c r="U35" s="18"/>
      <c r="V35" s="80"/>
      <c r="W35" s="80"/>
    </row>
    <row r="36" spans="1:23" x14ac:dyDescent="0.25">
      <c r="A36" s="214" t="s">
        <v>354</v>
      </c>
      <c r="B36" s="215"/>
      <c r="C36" s="215"/>
      <c r="D36" s="215"/>
      <c r="E36" s="216"/>
      <c r="F36" s="158" t="s">
        <v>355</v>
      </c>
      <c r="G36" s="156"/>
      <c r="H36" s="80"/>
      <c r="I36" s="80"/>
      <c r="J36" s="80"/>
      <c r="K36" s="80"/>
      <c r="L36" s="80"/>
      <c r="M36" s="80"/>
      <c r="N36" s="170"/>
      <c r="O36" s="80"/>
      <c r="P36" s="80"/>
      <c r="Q36" s="80"/>
      <c r="R36" s="80"/>
      <c r="S36" s="80"/>
      <c r="T36" s="80"/>
      <c r="U36" s="80"/>
      <c r="V36" s="80"/>
      <c r="W36" s="80"/>
    </row>
    <row r="37" spans="1:23" x14ac:dyDescent="0.25">
      <c r="A37" s="217" t="s">
        <v>356</v>
      </c>
      <c r="B37" s="215"/>
      <c r="C37" s="215"/>
      <c r="D37" s="215"/>
      <c r="E37" s="216"/>
      <c r="F37" s="159"/>
      <c r="G37" s="156"/>
      <c r="H37" s="80"/>
      <c r="I37" s="80"/>
      <c r="J37" s="80"/>
      <c r="K37" s="80"/>
      <c r="L37" s="80"/>
      <c r="M37" s="80"/>
      <c r="N37" s="170"/>
      <c r="O37" s="171"/>
      <c r="P37" s="80"/>
      <c r="Q37" s="80"/>
      <c r="R37" s="80"/>
      <c r="S37" s="80"/>
      <c r="T37" s="80"/>
      <c r="U37" s="80"/>
      <c r="V37" s="80"/>
      <c r="W37" s="80"/>
    </row>
    <row r="38" spans="1:23" x14ac:dyDescent="0.25">
      <c r="A38" s="183"/>
      <c r="B38" s="183"/>
      <c r="C38" s="183"/>
      <c r="D38" s="183"/>
      <c r="E38" s="183"/>
      <c r="F38" s="185"/>
      <c r="G38" s="80"/>
      <c r="H38" s="80"/>
      <c r="I38" s="80"/>
      <c r="J38" s="80"/>
      <c r="K38" s="80"/>
      <c r="L38" s="80"/>
      <c r="M38" s="80"/>
      <c r="N38" s="170"/>
      <c r="O38" s="80"/>
      <c r="P38" s="80"/>
      <c r="Q38" s="80"/>
      <c r="R38" s="80"/>
      <c r="S38" s="80"/>
      <c r="T38" s="80"/>
      <c r="U38" s="80"/>
      <c r="V38" s="80"/>
      <c r="W38" s="80"/>
    </row>
    <row r="39" spans="1:23" x14ac:dyDescent="0.25">
      <c r="A39" s="186"/>
      <c r="B39" s="184"/>
      <c r="C39" s="184"/>
      <c r="D39" s="184"/>
      <c r="E39" s="184"/>
      <c r="F39" s="184"/>
      <c r="G39" s="80"/>
      <c r="H39" s="80"/>
      <c r="I39" s="80"/>
      <c r="J39" s="80"/>
      <c r="K39" s="80"/>
      <c r="L39" s="80"/>
      <c r="M39" s="80"/>
      <c r="N39" s="170"/>
      <c r="O39" s="80"/>
      <c r="P39" s="80"/>
      <c r="Q39" s="80"/>
      <c r="R39" s="80"/>
      <c r="S39" s="80"/>
      <c r="T39" s="80"/>
      <c r="U39" s="80"/>
      <c r="V39" s="80"/>
      <c r="W39" s="80"/>
    </row>
    <row r="40" spans="1:23" ht="15.75" thickBot="1" x14ac:dyDescent="0.3">
      <c r="A40" s="209" t="s">
        <v>430</v>
      </c>
      <c r="B40" s="210"/>
      <c r="C40" s="123"/>
      <c r="D40" s="32"/>
      <c r="E40" s="218" t="s">
        <v>262</v>
      </c>
      <c r="F40" s="219"/>
      <c r="G40" s="156"/>
      <c r="H40" s="80"/>
      <c r="I40" s="80"/>
      <c r="J40" s="80"/>
      <c r="K40" s="80"/>
      <c r="L40" s="80"/>
      <c r="M40" s="80"/>
      <c r="N40" s="170"/>
      <c r="O40" s="80"/>
      <c r="P40" s="80"/>
      <c r="Q40" s="80"/>
      <c r="R40" s="80"/>
      <c r="S40" s="80"/>
      <c r="T40" s="80"/>
      <c r="U40" s="80"/>
      <c r="V40" s="80"/>
      <c r="W40" s="80"/>
    </row>
    <row r="41" spans="1:23" x14ac:dyDescent="0.25">
      <c r="A41" s="76" t="s">
        <v>424</v>
      </c>
      <c r="B41" s="77" t="s">
        <v>428</v>
      </c>
      <c r="C41" s="124"/>
      <c r="D41" s="27"/>
      <c r="E41" s="35" t="s">
        <v>263</v>
      </c>
      <c r="F41" s="160" t="s">
        <v>269</v>
      </c>
      <c r="G41" s="156"/>
      <c r="H41" s="80"/>
      <c r="I41" s="80"/>
      <c r="J41" s="80"/>
      <c r="K41" s="80"/>
      <c r="L41" s="80"/>
      <c r="M41" s="80"/>
      <c r="N41" s="170"/>
      <c r="O41" s="80"/>
      <c r="P41" s="80"/>
      <c r="Q41" s="80"/>
      <c r="R41" s="80"/>
      <c r="S41" s="80"/>
      <c r="T41" s="80"/>
      <c r="U41" s="80"/>
      <c r="V41" s="80"/>
      <c r="W41" s="80"/>
    </row>
    <row r="42" spans="1:23" x14ac:dyDescent="0.25">
      <c r="A42" s="76" t="s">
        <v>425</v>
      </c>
      <c r="B42" s="77" t="s">
        <v>676</v>
      </c>
      <c r="C42" s="124"/>
      <c r="D42" s="27"/>
      <c r="E42" s="33" t="s">
        <v>264</v>
      </c>
      <c r="F42" s="161" t="s">
        <v>270</v>
      </c>
      <c r="G42" s="156"/>
      <c r="H42" s="80"/>
      <c r="I42" s="80"/>
      <c r="J42" s="80"/>
      <c r="K42" s="80"/>
      <c r="L42" s="80"/>
      <c r="M42" s="80"/>
      <c r="N42" s="170"/>
      <c r="O42" s="80"/>
      <c r="P42" s="80"/>
      <c r="Q42" s="80"/>
      <c r="R42" s="80"/>
      <c r="S42" s="80"/>
      <c r="T42" s="80"/>
      <c r="U42" s="80"/>
      <c r="V42" s="80"/>
      <c r="W42" s="80"/>
    </row>
    <row r="43" spans="1:23" x14ac:dyDescent="0.25">
      <c r="A43" s="76" t="s">
        <v>426</v>
      </c>
      <c r="B43" s="77" t="s">
        <v>428</v>
      </c>
      <c r="C43" s="124"/>
      <c r="D43" s="27"/>
      <c r="E43" s="33" t="s">
        <v>265</v>
      </c>
      <c r="F43" s="161" t="s">
        <v>271</v>
      </c>
      <c r="G43" s="156"/>
      <c r="H43" s="80"/>
      <c r="I43" s="80"/>
      <c r="J43" s="80"/>
      <c r="K43" s="80"/>
      <c r="L43" s="80"/>
      <c r="M43" s="80"/>
      <c r="N43" s="170"/>
      <c r="O43" s="80"/>
      <c r="P43" s="80"/>
      <c r="Q43" s="80"/>
      <c r="R43" s="80"/>
      <c r="S43" s="80"/>
      <c r="T43" s="80"/>
      <c r="U43" s="80"/>
      <c r="V43" s="80"/>
      <c r="W43" s="80"/>
    </row>
    <row r="44" spans="1:23" x14ac:dyDescent="0.25">
      <c r="A44" s="76" t="s">
        <v>427</v>
      </c>
      <c r="B44" s="77" t="s">
        <v>676</v>
      </c>
      <c r="C44" s="124"/>
      <c r="D44" s="27"/>
      <c r="E44" s="33" t="s">
        <v>266</v>
      </c>
      <c r="F44" s="161" t="s">
        <v>709</v>
      </c>
      <c r="G44" s="156"/>
      <c r="H44" s="80"/>
      <c r="I44" s="80"/>
      <c r="J44" s="80"/>
      <c r="K44" s="80"/>
      <c r="L44" s="80"/>
      <c r="M44" s="80"/>
      <c r="N44" s="170"/>
      <c r="O44" s="80"/>
      <c r="P44" s="80"/>
      <c r="Q44" s="80"/>
      <c r="R44" s="80"/>
      <c r="S44" s="80"/>
      <c r="T44" s="80"/>
      <c r="U44" s="80"/>
      <c r="V44" s="80"/>
      <c r="W44" s="80"/>
    </row>
    <row r="45" spans="1:23" ht="15.75" thickBot="1" x14ac:dyDescent="0.3">
      <c r="A45" s="78" t="s">
        <v>429</v>
      </c>
      <c r="B45" s="79"/>
      <c r="C45" s="125"/>
      <c r="D45" s="27"/>
      <c r="E45" s="33" t="s">
        <v>267</v>
      </c>
      <c r="F45" s="161" t="s">
        <v>272</v>
      </c>
      <c r="G45" s="156"/>
      <c r="H45" s="80"/>
      <c r="I45" s="80"/>
      <c r="J45" s="80"/>
      <c r="K45" s="80"/>
      <c r="L45" s="80"/>
      <c r="M45" s="80"/>
      <c r="N45" s="170"/>
      <c r="O45" s="80"/>
      <c r="P45" s="80"/>
      <c r="Q45" s="80"/>
      <c r="R45" s="80"/>
      <c r="S45" s="80"/>
      <c r="T45" s="80"/>
      <c r="U45" s="80"/>
      <c r="V45" s="80"/>
      <c r="W45" s="80"/>
    </row>
    <row r="46" spans="1:23" ht="16.5" thickTop="1" thickBot="1" x14ac:dyDescent="0.3">
      <c r="A46" s="27"/>
      <c r="B46" s="27"/>
      <c r="C46" s="27"/>
      <c r="D46" s="27"/>
      <c r="E46" s="34" t="s">
        <v>268</v>
      </c>
      <c r="F46" s="162" t="s">
        <v>273</v>
      </c>
      <c r="G46" s="156"/>
      <c r="H46" s="80"/>
      <c r="I46" s="80"/>
      <c r="J46" s="80"/>
      <c r="K46" s="80"/>
      <c r="L46" s="80"/>
      <c r="M46" s="80"/>
      <c r="N46" s="170"/>
      <c r="O46" s="80"/>
      <c r="P46" s="80"/>
      <c r="Q46" s="80"/>
      <c r="R46" s="80"/>
      <c r="S46" s="80"/>
      <c r="T46" s="80"/>
      <c r="U46" s="80"/>
      <c r="V46" s="80"/>
      <c r="W46" s="80"/>
    </row>
    <row r="47" spans="1:23" ht="15.75" thickTop="1" x14ac:dyDescent="0.25">
      <c r="A47" s="27"/>
      <c r="B47" s="27"/>
      <c r="C47" s="27"/>
      <c r="D47" s="27"/>
      <c r="E47" s="27"/>
      <c r="F47" s="29"/>
      <c r="G47" s="156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</row>
    <row r="48" spans="1:23" x14ac:dyDescent="0.25">
      <c r="A48" s="27"/>
      <c r="B48" s="27"/>
      <c r="C48" s="27"/>
      <c r="D48" s="27"/>
      <c r="E48" s="27"/>
      <c r="F48" s="29"/>
      <c r="G48" s="156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</row>
    <row r="49" spans="6:23" x14ac:dyDescent="0.25">
      <c r="F49" s="80"/>
      <c r="G49" s="80"/>
      <c r="H49" s="80"/>
      <c r="I49" s="80"/>
      <c r="J49" s="80"/>
      <c r="K49" s="80"/>
      <c r="L49" s="80"/>
      <c r="M49" s="80"/>
      <c r="N49" s="170"/>
      <c r="O49" s="80"/>
      <c r="P49" s="80"/>
      <c r="Q49" s="80"/>
      <c r="R49" s="80"/>
      <c r="S49" s="80"/>
      <c r="T49" s="80"/>
      <c r="U49" s="80"/>
      <c r="V49" s="80"/>
      <c r="W49" s="80"/>
    </row>
    <row r="50" spans="6:23" x14ac:dyDescent="0.25">
      <c r="F50" s="80"/>
      <c r="G50" s="80"/>
      <c r="H50" s="80"/>
      <c r="I50" s="80"/>
      <c r="J50" s="80"/>
      <c r="K50" s="80"/>
      <c r="L50" s="80"/>
      <c r="M50" s="80"/>
      <c r="N50" s="170"/>
      <c r="O50" s="80"/>
      <c r="P50" s="80"/>
      <c r="Q50" s="80"/>
      <c r="R50" s="80"/>
      <c r="S50" s="80"/>
      <c r="T50" s="80"/>
      <c r="U50" s="80"/>
      <c r="V50" s="80"/>
      <c r="W50" s="80"/>
    </row>
    <row r="51" spans="6:23" x14ac:dyDescent="0.25">
      <c r="V51" s="80"/>
      <c r="W51" s="80"/>
    </row>
  </sheetData>
  <dataConsolidate/>
  <mergeCells count="5">
    <mergeCell ref="A40:B40"/>
    <mergeCell ref="A35:E35"/>
    <mergeCell ref="A36:E36"/>
    <mergeCell ref="A37:E37"/>
    <mergeCell ref="E40:F40"/>
  </mergeCells>
  <printOptions gridLines="1"/>
  <pageMargins left="0.7" right="0.7" top="0.75" bottom="0.75" header="0.3" footer="0.3"/>
  <pageSetup scale="35" fitToHeight="0" orientation="landscape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  <firstFooter>&amp;L&amp;"museo sans for dell,Bold"&amp;KAAAAAA                 Dell - Internal Use - Confidential</first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B1:Q37"/>
  <sheetViews>
    <sheetView zoomScaleNormal="100" workbookViewId="0">
      <selection activeCell="I14" sqref="I14"/>
    </sheetView>
  </sheetViews>
  <sheetFormatPr defaultRowHeight="15.75" customHeight="1" x14ac:dyDescent="0.25"/>
  <cols>
    <col min="1" max="1" width="3.140625" customWidth="1"/>
    <col min="2" max="2" width="27.42578125" customWidth="1"/>
    <col min="3" max="3" width="16.7109375" bestFit="1" customWidth="1"/>
    <col min="4" max="4" width="22.42578125" bestFit="1" customWidth="1"/>
    <col min="5" max="5" width="21.5703125" bestFit="1" customWidth="1"/>
    <col min="6" max="6" width="22.5703125" bestFit="1" customWidth="1"/>
    <col min="7" max="8" width="17.85546875" bestFit="1" customWidth="1"/>
    <col min="9" max="10" width="18.140625" bestFit="1" customWidth="1"/>
    <col min="11" max="11" width="21" bestFit="1" customWidth="1"/>
    <col min="12" max="16" width="20.140625" customWidth="1"/>
    <col min="17" max="17" width="60.5703125" customWidth="1"/>
  </cols>
  <sheetData>
    <row r="1" spans="2:11" ht="11.25" customHeight="1" x14ac:dyDescent="0.25"/>
    <row r="2" spans="2:11" ht="31.5" customHeight="1" x14ac:dyDescent="0.25">
      <c r="C2" s="223" t="s">
        <v>5</v>
      </c>
      <c r="D2" s="224"/>
      <c r="E2" s="224"/>
      <c r="F2" s="224"/>
      <c r="G2" s="224"/>
      <c r="H2" s="224"/>
      <c r="I2" s="224"/>
      <c r="J2" s="224"/>
      <c r="K2" s="224"/>
    </row>
    <row r="3" spans="2:11" ht="30" x14ac:dyDescent="0.25">
      <c r="B3" s="202" t="s">
        <v>578</v>
      </c>
      <c r="C3" s="195" t="s">
        <v>664</v>
      </c>
      <c r="D3" s="193" t="s">
        <v>663</v>
      </c>
      <c r="E3" s="194" t="s">
        <v>667</v>
      </c>
      <c r="F3" s="196" t="s">
        <v>662</v>
      </c>
      <c r="G3" s="197" t="s">
        <v>665</v>
      </c>
      <c r="H3" s="198" t="s">
        <v>672</v>
      </c>
      <c r="I3" s="199" t="s">
        <v>666</v>
      </c>
      <c r="J3" s="200" t="s">
        <v>669</v>
      </c>
      <c r="K3" s="265" t="s">
        <v>577</v>
      </c>
    </row>
    <row r="4" spans="2:11" ht="15.75" customHeight="1" x14ac:dyDescent="0.25">
      <c r="B4" s="202" t="s">
        <v>102</v>
      </c>
      <c r="C4" s="36" t="s">
        <v>712</v>
      </c>
      <c r="D4" s="44" t="s">
        <v>217</v>
      </c>
      <c r="E4" s="37" t="s">
        <v>218</v>
      </c>
      <c r="F4" s="42" t="s">
        <v>220</v>
      </c>
      <c r="G4" s="43" t="s">
        <v>221</v>
      </c>
      <c r="H4" s="38" t="s">
        <v>222</v>
      </c>
      <c r="I4" s="30" t="s">
        <v>223</v>
      </c>
      <c r="J4" s="40" t="s">
        <v>713</v>
      </c>
      <c r="K4" s="182" t="s">
        <v>579</v>
      </c>
    </row>
    <row r="5" spans="2:11" ht="15.75" customHeight="1" x14ac:dyDescent="0.25">
      <c r="B5" s="202" t="s">
        <v>535</v>
      </c>
      <c r="C5" s="51">
        <v>393</v>
      </c>
      <c r="D5" s="52">
        <v>110</v>
      </c>
      <c r="E5" s="37">
        <v>120</v>
      </c>
      <c r="F5" s="42">
        <v>130</v>
      </c>
      <c r="G5" s="43">
        <v>140</v>
      </c>
      <c r="H5" s="38">
        <v>170</v>
      </c>
      <c r="I5" s="30">
        <v>180</v>
      </c>
      <c r="J5" s="40">
        <v>394</v>
      </c>
      <c r="K5" s="182" t="s">
        <v>580</v>
      </c>
    </row>
    <row r="6" spans="2:11" ht="15.75" customHeight="1" x14ac:dyDescent="0.25">
      <c r="B6" s="202" t="s">
        <v>536</v>
      </c>
      <c r="C6" s="51" t="s">
        <v>337</v>
      </c>
      <c r="D6" s="52" t="s">
        <v>338</v>
      </c>
      <c r="E6" s="37" t="s">
        <v>338</v>
      </c>
      <c r="F6" s="42" t="s">
        <v>338</v>
      </c>
      <c r="G6" s="43" t="s">
        <v>338</v>
      </c>
      <c r="H6" s="38" t="s">
        <v>338</v>
      </c>
      <c r="I6" s="30" t="s">
        <v>338</v>
      </c>
      <c r="J6" s="40" t="s">
        <v>337</v>
      </c>
      <c r="K6" s="201" t="s">
        <v>338</v>
      </c>
    </row>
    <row r="7" spans="2:11" ht="15.75" customHeight="1" x14ac:dyDescent="0.25">
      <c r="B7" s="202" t="s">
        <v>537</v>
      </c>
      <c r="C7" s="51" t="s">
        <v>714</v>
      </c>
      <c r="D7" s="44" t="s">
        <v>344</v>
      </c>
      <c r="E7" s="37" t="s">
        <v>339</v>
      </c>
      <c r="F7" s="42" t="s">
        <v>352</v>
      </c>
      <c r="G7" s="43" t="s">
        <v>574</v>
      </c>
      <c r="H7" s="38" t="s">
        <v>575</v>
      </c>
      <c r="I7" s="30" t="s">
        <v>576</v>
      </c>
      <c r="J7" s="40" t="s">
        <v>715</v>
      </c>
      <c r="K7" s="201"/>
    </row>
    <row r="8" spans="2:11" ht="15.75" customHeight="1" x14ac:dyDescent="0.25">
      <c r="B8" s="202" t="s">
        <v>539</v>
      </c>
      <c r="C8" s="51" t="s">
        <v>697</v>
      </c>
      <c r="D8" s="52" t="s">
        <v>349</v>
      </c>
      <c r="E8" s="37" t="s">
        <v>340</v>
      </c>
      <c r="F8" s="42" t="s">
        <v>351</v>
      </c>
      <c r="G8" s="43" t="s">
        <v>345</v>
      </c>
      <c r="H8" s="38" t="s">
        <v>347</v>
      </c>
      <c r="I8" s="30" t="s">
        <v>362</v>
      </c>
      <c r="J8" s="40" t="s">
        <v>716</v>
      </c>
      <c r="K8" s="201"/>
    </row>
    <row r="9" spans="2:11" ht="15.75" customHeight="1" x14ac:dyDescent="0.25">
      <c r="B9" s="202" t="s">
        <v>538</v>
      </c>
      <c r="C9" s="62" t="s">
        <v>717</v>
      </c>
      <c r="D9" s="63" t="s">
        <v>350</v>
      </c>
      <c r="E9" s="64" t="s">
        <v>341</v>
      </c>
      <c r="F9" s="56" t="s">
        <v>353</v>
      </c>
      <c r="G9" s="65" t="s">
        <v>346</v>
      </c>
      <c r="H9" s="57" t="s">
        <v>348</v>
      </c>
      <c r="I9" s="58" t="s">
        <v>363</v>
      </c>
      <c r="J9" s="59" t="s">
        <v>718</v>
      </c>
      <c r="K9" s="201"/>
    </row>
    <row r="10" spans="2:11" ht="15.75" customHeight="1" x14ac:dyDescent="0.25">
      <c r="B10" s="202" t="s">
        <v>540</v>
      </c>
      <c r="C10" s="36" t="s">
        <v>230</v>
      </c>
      <c r="D10" s="44"/>
      <c r="E10" s="37" t="s">
        <v>343</v>
      </c>
      <c r="F10" s="56"/>
      <c r="G10" s="65"/>
      <c r="H10" s="57"/>
      <c r="I10" s="58"/>
      <c r="J10" s="59"/>
      <c r="K10" s="201"/>
    </row>
    <row r="11" spans="2:11" ht="15.75" customHeight="1" thickBot="1" x14ac:dyDescent="0.3">
      <c r="B11" s="202" t="s">
        <v>541</v>
      </c>
      <c r="C11" s="70" t="s">
        <v>230</v>
      </c>
      <c r="D11" s="71"/>
      <c r="E11" s="72" t="s">
        <v>342</v>
      </c>
      <c r="F11" s="56"/>
      <c r="G11" s="65"/>
      <c r="H11" s="57"/>
      <c r="I11" s="58"/>
      <c r="J11" s="59"/>
      <c r="K11" s="201"/>
    </row>
    <row r="12" spans="2:11" ht="15.75" customHeight="1" thickTop="1" x14ac:dyDescent="0.25"/>
    <row r="13" spans="2:11" ht="15.75" customHeight="1" x14ac:dyDescent="0.25">
      <c r="B13" s="100"/>
      <c r="C13" s="100"/>
      <c r="D13" s="100"/>
      <c r="E13" s="100"/>
    </row>
    <row r="14" spans="2:11" ht="15.75" customHeight="1" x14ac:dyDescent="0.25">
      <c r="B14" s="222" t="s">
        <v>573</v>
      </c>
      <c r="C14" s="222"/>
      <c r="D14" s="222"/>
      <c r="E14" s="222"/>
      <c r="F14" s="222"/>
    </row>
    <row r="15" spans="2:11" ht="15.75" customHeight="1" x14ac:dyDescent="0.25">
      <c r="B15" s="21" t="s">
        <v>670</v>
      </c>
      <c r="C15" s="21" t="s">
        <v>37</v>
      </c>
      <c r="D15" s="21" t="s">
        <v>103</v>
      </c>
      <c r="E15" s="21" t="s">
        <v>104</v>
      </c>
      <c r="F15" s="21" t="s">
        <v>106</v>
      </c>
    </row>
    <row r="16" spans="2:11" ht="15.75" customHeight="1" x14ac:dyDescent="0.25">
      <c r="B16" s="21" t="s">
        <v>667</v>
      </c>
      <c r="C16" s="21" t="s">
        <v>7</v>
      </c>
      <c r="D16" s="21" t="s">
        <v>674</v>
      </c>
      <c r="E16" s="21" t="s">
        <v>674</v>
      </c>
      <c r="F16" s="21" t="s">
        <v>674</v>
      </c>
    </row>
    <row r="17" spans="2:17" ht="15.75" customHeight="1" x14ac:dyDescent="0.25">
      <c r="B17" s="21" t="s">
        <v>664</v>
      </c>
      <c r="C17" s="21" t="s">
        <v>7</v>
      </c>
      <c r="D17" s="21" t="s">
        <v>7</v>
      </c>
      <c r="E17" s="21" t="s">
        <v>105</v>
      </c>
      <c r="F17" s="21" t="s">
        <v>105</v>
      </c>
    </row>
    <row r="18" spans="2:17" ht="15.75" customHeight="1" x14ac:dyDescent="0.25">
      <c r="B18" s="21" t="s">
        <v>668</v>
      </c>
      <c r="C18" s="21" t="s">
        <v>7</v>
      </c>
      <c r="D18" s="21" t="s">
        <v>7</v>
      </c>
      <c r="E18" s="21" t="s">
        <v>105</v>
      </c>
      <c r="F18" s="21" t="s">
        <v>105</v>
      </c>
    </row>
    <row r="19" spans="2:17" ht="15.75" customHeight="1" x14ac:dyDescent="0.25">
      <c r="B19" s="21" t="s">
        <v>665</v>
      </c>
      <c r="C19" s="21" t="s">
        <v>7</v>
      </c>
      <c r="D19" s="21" t="s">
        <v>7</v>
      </c>
      <c r="E19" s="21" t="s">
        <v>7</v>
      </c>
      <c r="F19" s="21" t="s">
        <v>105</v>
      </c>
    </row>
    <row r="20" spans="2:17" ht="15.75" customHeight="1" x14ac:dyDescent="0.25">
      <c r="B20" s="21" t="s">
        <v>577</v>
      </c>
      <c r="C20" s="21" t="s">
        <v>105</v>
      </c>
      <c r="D20" s="21" t="s">
        <v>7</v>
      </c>
      <c r="E20" s="21" t="s">
        <v>7</v>
      </c>
      <c r="F20" s="21" t="s">
        <v>105</v>
      </c>
    </row>
    <row r="21" spans="2:17" ht="15.75" customHeight="1" x14ac:dyDescent="0.25">
      <c r="B21" s="21" t="s">
        <v>671</v>
      </c>
      <c r="C21" s="21" t="s">
        <v>105</v>
      </c>
      <c r="D21" s="21" t="s">
        <v>7</v>
      </c>
      <c r="E21" s="21" t="s">
        <v>7</v>
      </c>
      <c r="F21" s="21" t="s">
        <v>105</v>
      </c>
    </row>
    <row r="22" spans="2:17" ht="15.75" customHeight="1" x14ac:dyDescent="0.25">
      <c r="B22" s="21" t="s">
        <v>672</v>
      </c>
      <c r="C22" s="21" t="s">
        <v>7</v>
      </c>
      <c r="D22" s="21" t="s">
        <v>7</v>
      </c>
      <c r="E22" s="21" t="s">
        <v>7</v>
      </c>
      <c r="F22" s="21" t="s">
        <v>7</v>
      </c>
    </row>
    <row r="23" spans="2:17" ht="15.75" customHeight="1" x14ac:dyDescent="0.25">
      <c r="B23" s="21" t="s">
        <v>666</v>
      </c>
      <c r="C23" s="21" t="s">
        <v>105</v>
      </c>
      <c r="D23" s="21" t="s">
        <v>105</v>
      </c>
      <c r="E23" s="21" t="s">
        <v>105</v>
      </c>
      <c r="F23" s="21" t="s">
        <v>7</v>
      </c>
    </row>
    <row r="24" spans="2:17" ht="14.25" customHeight="1" x14ac:dyDescent="0.25">
      <c r="B24" s="21" t="s">
        <v>213</v>
      </c>
      <c r="C24" s="21" t="s">
        <v>674</v>
      </c>
      <c r="D24" s="21" t="s">
        <v>105</v>
      </c>
      <c r="E24" s="21" t="s">
        <v>105</v>
      </c>
      <c r="F24" s="21" t="s">
        <v>105</v>
      </c>
    </row>
    <row r="25" spans="2:17" ht="15.75" customHeight="1" x14ac:dyDescent="0.25">
      <c r="B25" s="21" t="s">
        <v>673</v>
      </c>
      <c r="C25" s="21" t="s">
        <v>674</v>
      </c>
      <c r="D25" s="21" t="s">
        <v>674</v>
      </c>
      <c r="E25" s="21" t="s">
        <v>674</v>
      </c>
      <c r="F25" s="21" t="s">
        <v>674</v>
      </c>
    </row>
    <row r="26" spans="2:17" ht="15.75" customHeight="1" x14ac:dyDescent="0.25">
      <c r="B26" s="21"/>
      <c r="C26" s="21"/>
      <c r="D26" s="21"/>
      <c r="E26" s="21"/>
      <c r="F26" s="21"/>
    </row>
    <row r="27" spans="2:17" ht="15.75" customHeight="1" x14ac:dyDescent="0.25">
      <c r="B27" s="220" t="s">
        <v>501</v>
      </c>
      <c r="C27" s="221"/>
      <c r="D27" s="221"/>
      <c r="E27" s="221"/>
      <c r="F27" s="221"/>
    </row>
    <row r="30" spans="2:17" ht="15.75" customHeight="1" x14ac:dyDescent="0.25">
      <c r="B30" s="82" t="s">
        <v>489</v>
      </c>
      <c r="C30" s="82" t="s">
        <v>510</v>
      </c>
      <c r="D30" s="82" t="s">
        <v>511</v>
      </c>
      <c r="E30" s="32" t="s">
        <v>35</v>
      </c>
      <c r="F30" s="32" t="s">
        <v>581</v>
      </c>
      <c r="G30" s="32" t="s">
        <v>490</v>
      </c>
      <c r="H30" s="32" t="s">
        <v>491</v>
      </c>
      <c r="I30" s="32" t="s">
        <v>516</v>
      </c>
      <c r="J30" s="32" t="s">
        <v>517</v>
      </c>
      <c r="K30" s="32" t="s">
        <v>518</v>
      </c>
      <c r="L30" s="32" t="s">
        <v>519</v>
      </c>
      <c r="M30" s="32" t="s">
        <v>496</v>
      </c>
      <c r="N30" s="32" t="s">
        <v>492</v>
      </c>
      <c r="O30" s="32" t="s">
        <v>493</v>
      </c>
      <c r="P30" s="110" t="s">
        <v>494</v>
      </c>
      <c r="Q30" s="32" t="s">
        <v>568</v>
      </c>
    </row>
    <row r="31" spans="2:17" ht="15.75" customHeight="1" x14ac:dyDescent="0.25">
      <c r="B31" s="31" t="s">
        <v>37</v>
      </c>
      <c r="C31" s="31" t="s">
        <v>512</v>
      </c>
      <c r="D31" s="31" t="s">
        <v>513</v>
      </c>
      <c r="E31" s="27" t="s">
        <v>214</v>
      </c>
      <c r="F31" s="27" t="s">
        <v>215</v>
      </c>
      <c r="G31" s="27" t="s">
        <v>497</v>
      </c>
      <c r="H31" s="27" t="s">
        <v>358</v>
      </c>
      <c r="I31" s="27" t="s">
        <v>495</v>
      </c>
      <c r="J31" s="27" t="s">
        <v>495</v>
      </c>
      <c r="K31" s="27" t="s">
        <v>495</v>
      </c>
      <c r="L31" s="27" t="s">
        <v>495</v>
      </c>
      <c r="M31" s="27" t="s">
        <v>499</v>
      </c>
      <c r="N31" s="32" t="s">
        <v>359</v>
      </c>
      <c r="O31" s="29" t="s">
        <v>495</v>
      </c>
      <c r="P31" s="29" t="s">
        <v>495</v>
      </c>
      <c r="Q31" s="99" t="s">
        <v>414</v>
      </c>
    </row>
    <row r="32" spans="2:17" ht="15.75" customHeight="1" x14ac:dyDescent="0.25">
      <c r="B32" s="31" t="s">
        <v>474</v>
      </c>
      <c r="C32" s="31" t="s">
        <v>512</v>
      </c>
      <c r="D32" s="31" t="s">
        <v>513</v>
      </c>
      <c r="E32" s="27" t="s">
        <v>214</v>
      </c>
      <c r="F32" s="27" t="s">
        <v>495</v>
      </c>
      <c r="G32" s="27" t="s">
        <v>497</v>
      </c>
      <c r="H32" s="27" t="s">
        <v>358</v>
      </c>
      <c r="I32" s="27" t="s">
        <v>495</v>
      </c>
      <c r="J32" s="27" t="s">
        <v>495</v>
      </c>
      <c r="K32" s="27" t="s">
        <v>495</v>
      </c>
      <c r="L32" s="27" t="s">
        <v>495</v>
      </c>
      <c r="M32" s="27" t="s">
        <v>499</v>
      </c>
      <c r="N32" s="27" t="s">
        <v>359</v>
      </c>
      <c r="O32" s="29" t="s">
        <v>495</v>
      </c>
      <c r="P32" s="29" t="s">
        <v>495</v>
      </c>
      <c r="Q32" s="99" t="s">
        <v>414</v>
      </c>
    </row>
    <row r="33" spans="2:17" ht="15.75" customHeight="1" x14ac:dyDescent="0.25">
      <c r="B33" s="31" t="s">
        <v>475</v>
      </c>
      <c r="C33" s="31" t="s">
        <v>512</v>
      </c>
      <c r="D33" s="31" t="s">
        <v>513</v>
      </c>
      <c r="E33" s="27" t="s">
        <v>214</v>
      </c>
      <c r="F33" s="27" t="s">
        <v>495</v>
      </c>
      <c r="G33" s="27" t="s">
        <v>497</v>
      </c>
      <c r="H33" s="27" t="s">
        <v>358</v>
      </c>
      <c r="I33" s="27" t="s">
        <v>495</v>
      </c>
      <c r="J33" s="27" t="s">
        <v>495</v>
      </c>
      <c r="K33" s="27" t="s">
        <v>495</v>
      </c>
      <c r="L33" s="27" t="s">
        <v>495</v>
      </c>
      <c r="M33" s="27" t="s">
        <v>499</v>
      </c>
      <c r="N33" s="27" t="s">
        <v>359</v>
      </c>
      <c r="O33" s="29" t="s">
        <v>495</v>
      </c>
      <c r="P33" s="29" t="s">
        <v>495</v>
      </c>
      <c r="Q33" s="99" t="s">
        <v>414</v>
      </c>
    </row>
    <row r="34" spans="2:17" ht="15.75" customHeight="1" x14ac:dyDescent="0.25">
      <c r="B34" s="109" t="s">
        <v>480</v>
      </c>
      <c r="C34" s="31" t="s">
        <v>512</v>
      </c>
      <c r="D34" s="31" t="s">
        <v>513</v>
      </c>
      <c r="E34" s="127" t="s">
        <v>214</v>
      </c>
      <c r="F34" s="127" t="s">
        <v>495</v>
      </c>
      <c r="G34" s="27" t="s">
        <v>497</v>
      </c>
      <c r="H34" s="127" t="s">
        <v>498</v>
      </c>
      <c r="I34" s="127" t="s">
        <v>495</v>
      </c>
      <c r="J34" s="127" t="s">
        <v>495</v>
      </c>
      <c r="K34" s="127" t="s">
        <v>495</v>
      </c>
      <c r="L34" s="127" t="s">
        <v>495</v>
      </c>
      <c r="M34" s="27" t="s">
        <v>499</v>
      </c>
      <c r="N34" s="127" t="s">
        <v>500</v>
      </c>
      <c r="O34" s="108" t="s">
        <v>495</v>
      </c>
      <c r="P34" s="108" t="s">
        <v>495</v>
      </c>
      <c r="Q34" s="99" t="s">
        <v>414</v>
      </c>
    </row>
    <row r="37" spans="2:17" ht="16.5" customHeight="1" x14ac:dyDescent="0.25"/>
  </sheetData>
  <mergeCells count="3">
    <mergeCell ref="B27:F27"/>
    <mergeCell ref="B14:F14"/>
    <mergeCell ref="C2:K2"/>
  </mergeCells>
  <pageMargins left="0.7" right="0.7" top="0.75" bottom="0.75" header="0.3" footer="0.3"/>
  <pageSetup orientation="portrait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FF00"/>
  </sheetPr>
  <dimension ref="A2:O57"/>
  <sheetViews>
    <sheetView zoomScale="80" zoomScaleNormal="80" workbookViewId="0">
      <pane ySplit="4" topLeftCell="A5" activePane="bottomLeft" state="frozen"/>
      <selection pane="bottomLeft" activeCell="C10" sqref="C8:F10"/>
    </sheetView>
  </sheetViews>
  <sheetFormatPr defaultRowHeight="15" x14ac:dyDescent="0.25"/>
  <cols>
    <col min="10" max="10" width="17.85546875" bestFit="1" customWidth="1"/>
    <col min="11" max="11" width="18.85546875" bestFit="1" customWidth="1"/>
    <col min="12" max="12" width="21.5703125" bestFit="1" customWidth="1"/>
    <col min="13" max="13" width="11.42578125" bestFit="1" customWidth="1"/>
    <col min="14" max="14" width="8" bestFit="1" customWidth="1"/>
    <col min="15" max="15" width="12" bestFit="1" customWidth="1"/>
    <col min="16" max="16" width="5.7109375" customWidth="1"/>
    <col min="19" max="19" width="16" bestFit="1" customWidth="1"/>
    <col min="20" max="20" width="17.85546875" bestFit="1" customWidth="1"/>
    <col min="22" max="22" width="11.5703125" bestFit="1" customWidth="1"/>
    <col min="23" max="23" width="9.42578125" bestFit="1" customWidth="1"/>
    <col min="24" max="24" width="12.42578125" bestFit="1" customWidth="1"/>
  </cols>
  <sheetData>
    <row r="2" spans="1:15" x14ac:dyDescent="0.25">
      <c r="J2" s="111" t="s">
        <v>172</v>
      </c>
      <c r="K2" s="111"/>
      <c r="L2" s="111"/>
      <c r="M2" s="111"/>
      <c r="N2" s="111"/>
      <c r="O2" s="111"/>
    </row>
    <row r="3" spans="1:15" x14ac:dyDescent="0.25">
      <c r="G3" s="16"/>
      <c r="J3" s="112" t="s">
        <v>0</v>
      </c>
      <c r="K3" s="113"/>
      <c r="L3" s="113" t="s">
        <v>9</v>
      </c>
      <c r="M3" s="113"/>
      <c r="N3" s="113" t="s">
        <v>6</v>
      </c>
      <c r="O3" s="114"/>
    </row>
    <row r="4" spans="1:15" x14ac:dyDescent="0.25">
      <c r="G4" s="17"/>
      <c r="J4" s="1" t="s">
        <v>19</v>
      </c>
      <c r="K4" s="8" t="s">
        <v>20</v>
      </c>
      <c r="L4" s="8" t="s">
        <v>12</v>
      </c>
      <c r="M4" s="8" t="s">
        <v>8</v>
      </c>
      <c r="N4" s="7" t="s">
        <v>10</v>
      </c>
      <c r="O4" s="7" t="s">
        <v>11</v>
      </c>
    </row>
    <row r="5" spans="1:15" x14ac:dyDescent="0.25">
      <c r="A5" s="244" t="s">
        <v>591</v>
      </c>
      <c r="B5" s="244"/>
      <c r="C5" s="231" t="s">
        <v>592</v>
      </c>
      <c r="D5" s="231"/>
      <c r="E5" s="231"/>
      <c r="F5" s="231"/>
      <c r="G5" s="17"/>
      <c r="J5" s="3" t="s">
        <v>109</v>
      </c>
      <c r="K5" s="20" t="s">
        <v>95</v>
      </c>
      <c r="L5" s="3" t="str">
        <f>'Node Inventory'!A6</f>
        <v>sah</v>
      </c>
      <c r="M5" s="3" t="s">
        <v>36</v>
      </c>
      <c r="N5" s="14" t="s">
        <v>2</v>
      </c>
      <c r="O5" s="10" t="s">
        <v>226</v>
      </c>
    </row>
    <row r="6" spans="1:15" x14ac:dyDescent="0.25">
      <c r="A6" s="244" t="s">
        <v>14</v>
      </c>
      <c r="B6" s="244"/>
      <c r="C6" s="231" t="s">
        <v>569</v>
      </c>
      <c r="D6" s="231"/>
      <c r="E6" s="231"/>
      <c r="F6" s="231"/>
      <c r="G6" s="17"/>
      <c r="J6" s="3" t="s">
        <v>110</v>
      </c>
      <c r="K6" s="20" t="s">
        <v>95</v>
      </c>
      <c r="L6" s="3" t="str">
        <f>'Node Inventory'!A9</f>
        <v>controller_0</v>
      </c>
      <c r="M6" s="3" t="s">
        <v>36</v>
      </c>
      <c r="N6" s="14" t="s">
        <v>2</v>
      </c>
      <c r="O6" s="10" t="s">
        <v>226</v>
      </c>
    </row>
    <row r="7" spans="1:15" x14ac:dyDescent="0.25">
      <c r="A7" s="225" t="s">
        <v>582</v>
      </c>
      <c r="B7" s="226"/>
      <c r="C7" s="227" t="s">
        <v>583</v>
      </c>
      <c r="D7" s="228"/>
      <c r="E7" s="228"/>
      <c r="F7" s="229"/>
      <c r="G7" s="17"/>
      <c r="J7" s="3" t="s">
        <v>111</v>
      </c>
      <c r="K7" s="20" t="s">
        <v>95</v>
      </c>
      <c r="L7" s="3" t="str">
        <f>'Node Inventory'!A10</f>
        <v>controller_1</v>
      </c>
      <c r="M7" s="3" t="s">
        <v>36</v>
      </c>
      <c r="N7" s="14" t="s">
        <v>2</v>
      </c>
      <c r="O7" s="10" t="s">
        <v>226</v>
      </c>
    </row>
    <row r="8" spans="1:15" x14ac:dyDescent="0.25">
      <c r="A8" s="225" t="s">
        <v>13</v>
      </c>
      <c r="B8" s="226"/>
      <c r="C8" s="227" t="s">
        <v>720</v>
      </c>
      <c r="D8" s="228"/>
      <c r="E8" s="228"/>
      <c r="F8" s="229"/>
      <c r="G8" s="16"/>
      <c r="J8" s="3" t="s">
        <v>112</v>
      </c>
      <c r="K8" s="20" t="s">
        <v>95</v>
      </c>
      <c r="L8" s="3" t="str">
        <f>'Node Inventory'!A11</f>
        <v>controller_2</v>
      </c>
      <c r="M8" s="3" t="s">
        <v>36</v>
      </c>
      <c r="N8" s="14" t="s">
        <v>2</v>
      </c>
      <c r="O8" s="10" t="s">
        <v>226</v>
      </c>
    </row>
    <row r="9" spans="1:15" x14ac:dyDescent="0.25">
      <c r="A9" s="244" t="s">
        <v>4</v>
      </c>
      <c r="B9" s="244"/>
      <c r="C9" s="231" t="s">
        <v>676</v>
      </c>
      <c r="D9" s="231"/>
      <c r="E9" s="231"/>
      <c r="F9" s="231"/>
      <c r="G9" s="17"/>
      <c r="J9" s="3" t="s">
        <v>113</v>
      </c>
      <c r="K9" s="20" t="s">
        <v>95</v>
      </c>
      <c r="L9" s="3" t="str">
        <f>'Node Inventory'!A12</f>
        <v>compute_0</v>
      </c>
      <c r="M9" s="3" t="s">
        <v>36</v>
      </c>
      <c r="N9" s="14" t="s">
        <v>2</v>
      </c>
      <c r="O9" s="10" t="s">
        <v>226</v>
      </c>
    </row>
    <row r="10" spans="1:15" x14ac:dyDescent="0.25">
      <c r="A10" s="225" t="s">
        <v>570</v>
      </c>
      <c r="B10" s="226"/>
      <c r="C10" s="227" t="s">
        <v>719</v>
      </c>
      <c r="D10" s="228"/>
      <c r="E10" s="228"/>
      <c r="F10" s="229"/>
      <c r="G10" s="17"/>
      <c r="J10" s="3" t="s">
        <v>114</v>
      </c>
      <c r="K10" s="20" t="s">
        <v>95</v>
      </c>
      <c r="L10" s="3" t="str">
        <f>'Node Inventory'!A13</f>
        <v>compute_1</v>
      </c>
      <c r="M10" s="3" t="s">
        <v>36</v>
      </c>
      <c r="N10" s="14" t="s">
        <v>2</v>
      </c>
      <c r="O10" s="10" t="s">
        <v>226</v>
      </c>
    </row>
    <row r="11" spans="1:15" x14ac:dyDescent="0.25">
      <c r="A11" s="225" t="s">
        <v>174</v>
      </c>
      <c r="B11" s="226"/>
      <c r="C11" s="227" t="s">
        <v>261</v>
      </c>
      <c r="D11" s="228"/>
      <c r="E11" s="228"/>
      <c r="F11" s="229"/>
      <c r="G11" s="17"/>
      <c r="J11" s="3" t="s">
        <v>115</v>
      </c>
      <c r="K11" s="20" t="s">
        <v>95</v>
      </c>
      <c r="L11" s="3" t="str">
        <f>'Node Inventory'!A14</f>
        <v>compute_2</v>
      </c>
      <c r="M11" s="3" t="s">
        <v>36</v>
      </c>
      <c r="N11" s="14" t="s">
        <v>2</v>
      </c>
      <c r="O11" s="10" t="s">
        <v>226</v>
      </c>
    </row>
    <row r="12" spans="1:15" x14ac:dyDescent="0.25">
      <c r="A12" s="225" t="s">
        <v>24</v>
      </c>
      <c r="B12" s="226"/>
      <c r="C12" s="227" t="s">
        <v>228</v>
      </c>
      <c r="D12" s="228"/>
      <c r="E12" s="228"/>
      <c r="F12" s="229"/>
      <c r="G12" s="16"/>
      <c r="J12" s="3" t="s">
        <v>116</v>
      </c>
      <c r="K12" s="20" t="s">
        <v>95</v>
      </c>
      <c r="L12" s="3" t="str">
        <f>'Node Inventory'!A15</f>
        <v>storage_0</v>
      </c>
      <c r="M12" s="3" t="s">
        <v>36</v>
      </c>
      <c r="N12" s="14" t="s">
        <v>2</v>
      </c>
      <c r="O12" s="10" t="s">
        <v>226</v>
      </c>
    </row>
    <row r="13" spans="1:15" x14ac:dyDescent="0.25">
      <c r="G13" s="17"/>
      <c r="J13" s="3" t="s">
        <v>117</v>
      </c>
      <c r="K13" s="20" t="s">
        <v>95</v>
      </c>
      <c r="L13" s="3" t="str">
        <f>'Node Inventory'!A16</f>
        <v>storage_1</v>
      </c>
      <c r="M13" s="3" t="s">
        <v>36</v>
      </c>
      <c r="N13" s="14" t="s">
        <v>2</v>
      </c>
      <c r="O13" s="10" t="s">
        <v>226</v>
      </c>
    </row>
    <row r="14" spans="1:15" x14ac:dyDescent="0.25">
      <c r="A14" s="241" t="s">
        <v>32</v>
      </c>
      <c r="B14" s="241"/>
      <c r="C14" s="241"/>
      <c r="D14" s="242" t="s">
        <v>92</v>
      </c>
      <c r="E14" s="242"/>
      <c r="F14" s="242"/>
      <c r="G14" s="17"/>
      <c r="J14" s="3" t="s">
        <v>118</v>
      </c>
      <c r="K14" s="20" t="s">
        <v>95</v>
      </c>
      <c r="L14" s="3" t="str">
        <f>'Node Inventory'!A17</f>
        <v>storage_2</v>
      </c>
      <c r="M14" s="3" t="s">
        <v>36</v>
      </c>
      <c r="N14" s="14" t="s">
        <v>2</v>
      </c>
      <c r="O14" s="10" t="s">
        <v>226</v>
      </c>
    </row>
    <row r="15" spans="1:15" x14ac:dyDescent="0.25">
      <c r="A15" s="243" t="s">
        <v>15</v>
      </c>
      <c r="B15" s="243"/>
      <c r="C15" s="243"/>
      <c r="D15" s="231"/>
      <c r="E15" s="231"/>
      <c r="F15" s="231"/>
      <c r="G15" s="17"/>
      <c r="J15" s="3" t="s">
        <v>119</v>
      </c>
      <c r="K15" s="20" t="s">
        <v>95</v>
      </c>
      <c r="L15" s="3" t="str">
        <f>'Node Inventory'!A18</f>
        <v>open_0</v>
      </c>
      <c r="M15" s="3" t="s">
        <v>36</v>
      </c>
      <c r="N15" s="14" t="s">
        <v>2</v>
      </c>
      <c r="O15" s="10" t="s">
        <v>226</v>
      </c>
    </row>
    <row r="16" spans="1:15" x14ac:dyDescent="0.25">
      <c r="A16" s="230" t="s">
        <v>16</v>
      </c>
      <c r="B16" s="230"/>
      <c r="C16" s="230"/>
      <c r="D16" s="231">
        <v>16384</v>
      </c>
      <c r="E16" s="231"/>
      <c r="F16" s="231"/>
      <c r="G16" s="17"/>
      <c r="J16" s="3" t="s">
        <v>120</v>
      </c>
      <c r="K16" s="20" t="s">
        <v>95</v>
      </c>
      <c r="L16" s="3" t="str">
        <f>'Node Inventory'!A19</f>
        <v>open_0</v>
      </c>
      <c r="M16" s="3" t="s">
        <v>36</v>
      </c>
      <c r="N16" s="14" t="s">
        <v>2</v>
      </c>
      <c r="O16" s="10" t="s">
        <v>226</v>
      </c>
    </row>
    <row r="17" spans="1:15" x14ac:dyDescent="0.25">
      <c r="J17" s="3" t="s">
        <v>121</v>
      </c>
      <c r="K17" s="20" t="s">
        <v>95</v>
      </c>
      <c r="L17" s="3" t="str">
        <f>'Node Inventory'!A20</f>
        <v>open_0</v>
      </c>
      <c r="M17" s="3" t="s">
        <v>36</v>
      </c>
      <c r="N17" s="14" t="s">
        <v>2</v>
      </c>
      <c r="O17" s="10" t="s">
        <v>226</v>
      </c>
    </row>
    <row r="18" spans="1:15" x14ac:dyDescent="0.25">
      <c r="A18" s="232" t="s">
        <v>17</v>
      </c>
      <c r="B18" s="233"/>
      <c r="C18" s="234"/>
      <c r="D18" s="227"/>
      <c r="E18" s="228"/>
      <c r="F18" s="229"/>
      <c r="J18" s="3" t="s">
        <v>122</v>
      </c>
      <c r="K18" s="20" t="s">
        <v>95</v>
      </c>
      <c r="L18" s="3" t="str">
        <f>'Node Inventory'!A21</f>
        <v>open_0</v>
      </c>
      <c r="M18" s="3" t="s">
        <v>36</v>
      </c>
      <c r="N18" s="14" t="s">
        <v>2</v>
      </c>
      <c r="O18" s="10" t="s">
        <v>226</v>
      </c>
    </row>
    <row r="19" spans="1:15" x14ac:dyDescent="0.25">
      <c r="A19" s="235" t="s">
        <v>18</v>
      </c>
      <c r="B19" s="236"/>
      <c r="C19" s="237"/>
      <c r="D19" s="238">
        <v>1</v>
      </c>
      <c r="E19" s="239"/>
      <c r="F19" s="240"/>
      <c r="J19" s="3" t="s">
        <v>123</v>
      </c>
      <c r="K19" s="20" t="s">
        <v>95</v>
      </c>
      <c r="L19" s="3" t="str">
        <f>'Node Inventory'!A22</f>
        <v>open_0</v>
      </c>
      <c r="M19" s="3" t="s">
        <v>36</v>
      </c>
      <c r="N19" s="14" t="s">
        <v>2</v>
      </c>
      <c r="O19" s="10" t="s">
        <v>226</v>
      </c>
    </row>
    <row r="20" spans="1:15" x14ac:dyDescent="0.25">
      <c r="A20" s="235" t="s">
        <v>31</v>
      </c>
      <c r="B20" s="236"/>
      <c r="C20" s="237"/>
      <c r="D20" s="227">
        <v>1</v>
      </c>
      <c r="E20" s="228"/>
      <c r="F20" s="229"/>
      <c r="J20" s="3" t="s">
        <v>124</v>
      </c>
      <c r="K20" s="20" t="s">
        <v>95</v>
      </c>
      <c r="L20" s="3" t="str">
        <f>'Node Inventory'!A23</f>
        <v>open_0</v>
      </c>
      <c r="M20" s="3" t="s">
        <v>36</v>
      </c>
      <c r="N20" s="14" t="s">
        <v>2</v>
      </c>
      <c r="O20" s="10" t="s">
        <v>226</v>
      </c>
    </row>
    <row r="21" spans="1:15" x14ac:dyDescent="0.25">
      <c r="A21" s="232" t="s">
        <v>21</v>
      </c>
      <c r="B21" s="233"/>
      <c r="C21" s="234"/>
      <c r="D21" s="227">
        <v>0</v>
      </c>
      <c r="E21" s="228"/>
      <c r="F21" s="229"/>
      <c r="J21" s="3" t="s">
        <v>125</v>
      </c>
      <c r="K21" s="20" t="s">
        <v>95</v>
      </c>
      <c r="L21" s="3" t="str">
        <f>'Node Inventory'!A24</f>
        <v>open_0</v>
      </c>
      <c r="M21" s="3" t="s">
        <v>36</v>
      </c>
      <c r="N21" s="14" t="s">
        <v>2</v>
      </c>
      <c r="O21" s="10" t="s">
        <v>226</v>
      </c>
    </row>
    <row r="22" spans="1:15" x14ac:dyDescent="0.25">
      <c r="J22" s="3" t="s">
        <v>126</v>
      </c>
      <c r="K22" s="20" t="s">
        <v>95</v>
      </c>
      <c r="L22" s="3" t="str">
        <f>'Node Inventory'!A25</f>
        <v>open_0</v>
      </c>
      <c r="M22" s="3" t="s">
        <v>36</v>
      </c>
      <c r="N22" s="14" t="s">
        <v>2</v>
      </c>
      <c r="O22" s="10" t="s">
        <v>226</v>
      </c>
    </row>
    <row r="23" spans="1:15" x14ac:dyDescent="0.25">
      <c r="A23" s="252" t="s">
        <v>23</v>
      </c>
      <c r="B23" s="253"/>
      <c r="C23" s="253"/>
      <c r="D23" s="253"/>
      <c r="E23" s="253"/>
      <c r="F23" s="254"/>
      <c r="J23" s="3" t="s">
        <v>127</v>
      </c>
      <c r="K23" s="20" t="s">
        <v>95</v>
      </c>
      <c r="L23" s="3" t="str">
        <f>'Node Inventory'!A26</f>
        <v>open_0</v>
      </c>
      <c r="M23" s="3" t="s">
        <v>36</v>
      </c>
      <c r="N23" s="14" t="s">
        <v>2</v>
      </c>
      <c r="O23" s="10" t="s">
        <v>226</v>
      </c>
    </row>
    <row r="24" spans="1:15" x14ac:dyDescent="0.25">
      <c r="A24" s="246"/>
      <c r="B24" s="247"/>
      <c r="C24" s="247"/>
      <c r="D24" s="247"/>
      <c r="E24" s="247"/>
      <c r="F24" s="248"/>
      <c r="J24" s="3" t="s">
        <v>128</v>
      </c>
      <c r="K24" s="20" t="s">
        <v>95</v>
      </c>
      <c r="L24" s="3" t="str">
        <f>'Node Inventory'!A27</f>
        <v>open_0</v>
      </c>
      <c r="M24" s="3" t="s">
        <v>36</v>
      </c>
      <c r="N24" s="14" t="s">
        <v>2</v>
      </c>
      <c r="O24" s="10" t="s">
        <v>226</v>
      </c>
    </row>
    <row r="25" spans="1:15" x14ac:dyDescent="0.25">
      <c r="A25" s="249"/>
      <c r="B25" s="250"/>
      <c r="C25" s="250"/>
      <c r="D25" s="250"/>
      <c r="E25" s="250"/>
      <c r="F25" s="251"/>
      <c r="J25" s="3" t="s">
        <v>129</v>
      </c>
      <c r="K25" s="20" t="s">
        <v>95</v>
      </c>
      <c r="L25" s="3" t="str">
        <f>'Node Inventory'!A28</f>
        <v>open_0</v>
      </c>
      <c r="M25" s="3" t="s">
        <v>36</v>
      </c>
      <c r="N25" s="14" t="s">
        <v>2</v>
      </c>
      <c r="O25" s="10" t="s">
        <v>226</v>
      </c>
    </row>
    <row r="26" spans="1:15" x14ac:dyDescent="0.25">
      <c r="A26" s="246"/>
      <c r="B26" s="247"/>
      <c r="C26" s="247"/>
      <c r="D26" s="247"/>
      <c r="E26" s="247"/>
      <c r="F26" s="248"/>
      <c r="J26" s="3" t="s">
        <v>130</v>
      </c>
      <c r="K26" s="20" t="s">
        <v>95</v>
      </c>
      <c r="L26" s="3"/>
      <c r="M26" s="5"/>
      <c r="N26" s="14"/>
      <c r="O26" s="10"/>
    </row>
    <row r="27" spans="1:15" x14ac:dyDescent="0.25">
      <c r="A27" s="249"/>
      <c r="B27" s="250"/>
      <c r="C27" s="250"/>
      <c r="D27" s="250"/>
      <c r="E27" s="250"/>
      <c r="F27" s="251"/>
      <c r="J27" s="3" t="s">
        <v>131</v>
      </c>
      <c r="K27" s="20" t="s">
        <v>95</v>
      </c>
      <c r="L27" s="5"/>
      <c r="M27" s="5"/>
      <c r="N27" s="14"/>
      <c r="O27" s="6"/>
    </row>
    <row r="28" spans="1:15" x14ac:dyDescent="0.25">
      <c r="J28" s="3" t="s">
        <v>132</v>
      </c>
      <c r="K28" s="20" t="s">
        <v>95</v>
      </c>
      <c r="L28" s="5" t="str">
        <f>'Node Inventory'!A6</f>
        <v>sah</v>
      </c>
      <c r="M28" s="5" t="str">
        <f ca="1">OFFSET(NetworkInterfaces[[#Headers],[Provisioner]],1,)</f>
        <v>em3</v>
      </c>
      <c r="N28" s="14"/>
      <c r="O28" s="10" t="s">
        <v>226</v>
      </c>
    </row>
    <row r="29" spans="1:15" x14ac:dyDescent="0.25">
      <c r="J29" s="3" t="s">
        <v>133</v>
      </c>
      <c r="K29" s="15" t="s">
        <v>95</v>
      </c>
      <c r="L29" s="5" t="str">
        <f>'Node Inventory'!A9</f>
        <v>controller_0</v>
      </c>
      <c r="M29" s="5" t="str">
        <f ca="1">OFFSET(NetworkInterfaces[[#Headers],[Provisioner]],2,)</f>
        <v>em3</v>
      </c>
      <c r="N29" s="14"/>
      <c r="O29" s="10" t="s">
        <v>226</v>
      </c>
    </row>
    <row r="30" spans="1:15" x14ac:dyDescent="0.25">
      <c r="J30" s="3" t="s">
        <v>134</v>
      </c>
      <c r="K30" s="15" t="s">
        <v>95</v>
      </c>
      <c r="L30" s="5" t="str">
        <f>'Node Inventory'!A10</f>
        <v>controller_1</v>
      </c>
      <c r="M30" s="5" t="str">
        <f ca="1">OFFSET(NetworkInterfaces[[#Headers],[Provisioner]],2,)</f>
        <v>em3</v>
      </c>
      <c r="N30" s="14"/>
      <c r="O30" s="10" t="s">
        <v>226</v>
      </c>
    </row>
    <row r="31" spans="1:15" ht="15" customHeight="1" x14ac:dyDescent="0.25">
      <c r="J31" s="3" t="s">
        <v>135</v>
      </c>
      <c r="K31" s="15" t="s">
        <v>95</v>
      </c>
      <c r="L31" s="5" t="str">
        <f>'Node Inventory'!A11</f>
        <v>controller_2</v>
      </c>
      <c r="M31" s="5" t="str">
        <f ca="1">OFFSET(NetworkInterfaces[[#Headers],[Provisioner]],2,)</f>
        <v>em3</v>
      </c>
      <c r="N31" s="14"/>
      <c r="O31" s="10" t="s">
        <v>226</v>
      </c>
    </row>
    <row r="32" spans="1:15" x14ac:dyDescent="0.25">
      <c r="J32" s="3" t="s">
        <v>136</v>
      </c>
      <c r="K32" s="15" t="s">
        <v>95</v>
      </c>
      <c r="L32" s="5" t="str">
        <f>'Node Inventory'!A12</f>
        <v>compute_0</v>
      </c>
      <c r="M32" s="5" t="str">
        <f ca="1">OFFSET(NetworkInterfaces[[#Headers],[Provisioner]],3,)</f>
        <v>em3</v>
      </c>
      <c r="N32" s="14" t="s">
        <v>2</v>
      </c>
      <c r="O32" s="10" t="s">
        <v>226</v>
      </c>
    </row>
    <row r="33" spans="10:15" ht="14.85" customHeight="1" x14ac:dyDescent="0.25">
      <c r="J33" s="3" t="s">
        <v>137</v>
      </c>
      <c r="K33" s="15" t="s">
        <v>95</v>
      </c>
      <c r="L33" s="5" t="str">
        <f>'Node Inventory'!A13</f>
        <v>compute_1</v>
      </c>
      <c r="M33" s="5" t="str">
        <f ca="1">OFFSET(NetworkInterfaces[[#Headers],[Provisioner]],3,)</f>
        <v>em3</v>
      </c>
      <c r="N33" s="14" t="s">
        <v>2</v>
      </c>
      <c r="O33" s="10" t="s">
        <v>226</v>
      </c>
    </row>
    <row r="34" spans="10:15" x14ac:dyDescent="0.25">
      <c r="J34" s="3" t="s">
        <v>138</v>
      </c>
      <c r="K34" s="15" t="s">
        <v>95</v>
      </c>
      <c r="L34" s="5" t="str">
        <f>'Node Inventory'!A14</f>
        <v>compute_2</v>
      </c>
      <c r="M34" s="5" t="str">
        <f ca="1">OFFSET(NetworkInterfaces[[#Headers],[Provisioner]],3,)</f>
        <v>em3</v>
      </c>
      <c r="N34" s="14" t="s">
        <v>2</v>
      </c>
      <c r="O34" s="10" t="s">
        <v>226</v>
      </c>
    </row>
    <row r="35" spans="10:15" x14ac:dyDescent="0.25">
      <c r="J35" s="3" t="s">
        <v>139</v>
      </c>
      <c r="K35" s="15" t="s">
        <v>95</v>
      </c>
      <c r="L35" s="5" t="str">
        <f>'Node Inventory'!A15</f>
        <v>storage_0</v>
      </c>
      <c r="M35" s="5" t="str">
        <f ca="1">OFFSET(NetworkInterfaces[[#Headers],[Provisioner]],3,)</f>
        <v>em3</v>
      </c>
      <c r="N35" s="14" t="s">
        <v>2</v>
      </c>
      <c r="O35" s="10" t="s">
        <v>226</v>
      </c>
    </row>
    <row r="36" spans="10:15" ht="14.85" customHeight="1" x14ac:dyDescent="0.25">
      <c r="J36" s="3" t="s">
        <v>140</v>
      </c>
      <c r="K36" s="15" t="s">
        <v>95</v>
      </c>
      <c r="L36" s="5" t="str">
        <f>'Node Inventory'!A16</f>
        <v>storage_1</v>
      </c>
      <c r="M36" s="5" t="str">
        <f ca="1">OFFSET(NetworkInterfaces[[#Headers],[Provisioner]],3,)</f>
        <v>em3</v>
      </c>
      <c r="N36" s="14" t="s">
        <v>2</v>
      </c>
      <c r="O36" s="10" t="s">
        <v>226</v>
      </c>
    </row>
    <row r="37" spans="10:15" x14ac:dyDescent="0.25">
      <c r="J37" s="3" t="s">
        <v>141</v>
      </c>
      <c r="K37" s="15" t="s">
        <v>95</v>
      </c>
      <c r="L37" s="5" t="str">
        <f>'Node Inventory'!A17</f>
        <v>storage_2</v>
      </c>
      <c r="M37" s="5" t="str">
        <f ca="1">OFFSET(NetworkInterfaces[[#Headers],[Provisioner]],3,)</f>
        <v>em3</v>
      </c>
      <c r="N37" s="14"/>
      <c r="O37" s="10" t="s">
        <v>226</v>
      </c>
    </row>
    <row r="38" spans="10:15" x14ac:dyDescent="0.25">
      <c r="J38" s="3" t="s">
        <v>142</v>
      </c>
      <c r="K38" s="15" t="s">
        <v>95</v>
      </c>
      <c r="L38" s="5" t="str">
        <f>'Node Inventory'!A18</f>
        <v>open_0</v>
      </c>
      <c r="M38" s="5" t="str">
        <f ca="1">OFFSET(NetworkInterfaces[[#Headers],[Provisioner]],3,)</f>
        <v>em3</v>
      </c>
      <c r="N38" s="14"/>
      <c r="O38" s="10" t="s">
        <v>226</v>
      </c>
    </row>
    <row r="39" spans="10:15" x14ac:dyDescent="0.25">
      <c r="J39" s="3" t="s">
        <v>143</v>
      </c>
      <c r="K39" s="15" t="s">
        <v>95</v>
      </c>
      <c r="L39" s="5" t="str">
        <f>'Node Inventory'!A19</f>
        <v>open_0</v>
      </c>
      <c r="M39" s="5" t="str">
        <f ca="1">OFFSET(NetworkInterfaces[[#Headers],[Provisioner]],3,)</f>
        <v>em3</v>
      </c>
      <c r="N39" s="14"/>
      <c r="O39" s="10" t="s">
        <v>226</v>
      </c>
    </row>
    <row r="40" spans="10:15" x14ac:dyDescent="0.25">
      <c r="J40" s="3" t="s">
        <v>144</v>
      </c>
      <c r="K40" s="15" t="s">
        <v>95</v>
      </c>
      <c r="L40" s="5" t="str">
        <f>'Node Inventory'!A20</f>
        <v>open_0</v>
      </c>
      <c r="M40" s="5" t="str">
        <f ca="1">OFFSET(NetworkInterfaces[[#Headers],[Provisioner]],3,)</f>
        <v>em3</v>
      </c>
      <c r="N40" s="14"/>
      <c r="O40" s="10" t="s">
        <v>226</v>
      </c>
    </row>
    <row r="41" spans="10:15" x14ac:dyDescent="0.25">
      <c r="J41" s="3" t="s">
        <v>145</v>
      </c>
      <c r="K41" s="15" t="s">
        <v>95</v>
      </c>
      <c r="L41" s="5" t="str">
        <f>'Node Inventory'!A21</f>
        <v>open_0</v>
      </c>
      <c r="M41" s="5" t="str">
        <f ca="1">OFFSET(NetworkInterfaces[[#Headers],[Provisioner]],3,)</f>
        <v>em3</v>
      </c>
      <c r="N41" s="14"/>
      <c r="O41" s="10" t="s">
        <v>226</v>
      </c>
    </row>
    <row r="42" spans="10:15" x14ac:dyDescent="0.25">
      <c r="J42" s="3" t="s">
        <v>146</v>
      </c>
      <c r="K42" s="15" t="s">
        <v>95</v>
      </c>
      <c r="L42" s="5" t="str">
        <f>'Node Inventory'!A22</f>
        <v>open_0</v>
      </c>
      <c r="M42" s="5" t="str">
        <f ca="1">OFFSET(NetworkInterfaces[[#Headers],[Provisioner]],3,)</f>
        <v>em3</v>
      </c>
      <c r="N42" s="14"/>
      <c r="O42" s="10" t="s">
        <v>226</v>
      </c>
    </row>
    <row r="43" spans="10:15" x14ac:dyDescent="0.25">
      <c r="J43" s="3" t="s">
        <v>147</v>
      </c>
      <c r="K43" s="15" t="s">
        <v>95</v>
      </c>
      <c r="L43" s="5" t="str">
        <f>'Node Inventory'!A23</f>
        <v>open_0</v>
      </c>
      <c r="M43" s="5" t="str">
        <f ca="1">OFFSET(NetworkInterfaces[[#Headers],[Provisioner]],4,)</f>
        <v>em3</v>
      </c>
      <c r="N43" s="14"/>
      <c r="O43" s="10" t="s">
        <v>226</v>
      </c>
    </row>
    <row r="44" spans="10:15" x14ac:dyDescent="0.25">
      <c r="J44" s="3" t="s">
        <v>148</v>
      </c>
      <c r="K44" s="15" t="s">
        <v>95</v>
      </c>
      <c r="L44" s="5" t="str">
        <f>'Node Inventory'!A24</f>
        <v>open_0</v>
      </c>
      <c r="M44" s="5" t="str">
        <f ca="1">OFFSET(NetworkInterfaces[[#Headers],[Provisioner]],4,)</f>
        <v>em3</v>
      </c>
      <c r="N44" s="14" t="s">
        <v>2</v>
      </c>
      <c r="O44" s="10" t="s">
        <v>226</v>
      </c>
    </row>
    <row r="45" spans="10:15" x14ac:dyDescent="0.25">
      <c r="J45" s="3" t="s">
        <v>149</v>
      </c>
      <c r="K45" s="15" t="s">
        <v>95</v>
      </c>
      <c r="L45" s="5" t="str">
        <f>'Node Inventory'!A25</f>
        <v>open_0</v>
      </c>
      <c r="M45" s="5" t="str">
        <f ca="1">OFFSET(NetworkInterfaces[[#Headers],[Provisioner]],4,)</f>
        <v>em3</v>
      </c>
      <c r="N45" s="14" t="s">
        <v>2</v>
      </c>
      <c r="O45" s="10" t="s">
        <v>226</v>
      </c>
    </row>
    <row r="46" spans="10:15" x14ac:dyDescent="0.25">
      <c r="J46" s="3" t="s">
        <v>150</v>
      </c>
      <c r="K46" s="15" t="s">
        <v>95</v>
      </c>
      <c r="L46" s="5" t="str">
        <f>'Node Inventory'!A26</f>
        <v>open_0</v>
      </c>
      <c r="M46" s="5" t="str">
        <f ca="1">OFFSET(NetworkInterfaces[[#Headers],[Provisioner]],4,)</f>
        <v>em3</v>
      </c>
      <c r="N46" s="14"/>
      <c r="O46" s="10" t="s">
        <v>226</v>
      </c>
    </row>
    <row r="47" spans="10:15" x14ac:dyDescent="0.25">
      <c r="J47" s="3" t="s">
        <v>151</v>
      </c>
      <c r="K47" s="15" t="s">
        <v>95</v>
      </c>
      <c r="L47" s="3" t="str">
        <f>'Node Inventory'!A27</f>
        <v>open_0</v>
      </c>
      <c r="M47" s="5" t="str">
        <f ca="1">OFFSET(NetworkInterfaces[[#Headers],[Provisioner]],4,)</f>
        <v>em3</v>
      </c>
      <c r="N47" s="14"/>
      <c r="O47" s="10" t="s">
        <v>226</v>
      </c>
    </row>
    <row r="48" spans="10:15" x14ac:dyDescent="0.25">
      <c r="J48" s="3" t="s">
        <v>152</v>
      </c>
      <c r="K48" s="15" t="s">
        <v>95</v>
      </c>
      <c r="L48" s="3" t="str">
        <f>'Node Inventory'!A28</f>
        <v>open_0</v>
      </c>
      <c r="M48" s="5" t="str">
        <f ca="1">OFFSET(NetworkInterfaces[[#Headers],[Provisioner]],4,)</f>
        <v>em3</v>
      </c>
      <c r="N48" s="14"/>
      <c r="O48" s="10" t="s">
        <v>226</v>
      </c>
    </row>
    <row r="49" spans="10:15" x14ac:dyDescent="0.25">
      <c r="J49" s="3" t="s">
        <v>153</v>
      </c>
      <c r="K49" s="3" t="s">
        <v>1</v>
      </c>
      <c r="L49" s="14"/>
      <c r="M49" s="13"/>
      <c r="N49" s="14"/>
      <c r="O49" s="6" t="s">
        <v>2</v>
      </c>
    </row>
    <row r="50" spans="10:15" x14ac:dyDescent="0.25">
      <c r="J50" s="3" t="s">
        <v>154</v>
      </c>
      <c r="K50" s="3" t="s">
        <v>1</v>
      </c>
      <c r="L50" s="11"/>
      <c r="M50" s="13"/>
      <c r="N50" s="14"/>
      <c r="O50" s="6" t="s">
        <v>2</v>
      </c>
    </row>
    <row r="51" spans="10:15" x14ac:dyDescent="0.25">
      <c r="J51" s="3" t="s">
        <v>155</v>
      </c>
      <c r="K51" s="3" t="s">
        <v>165</v>
      </c>
      <c r="L51" s="5" t="s">
        <v>170</v>
      </c>
      <c r="M51" s="13"/>
      <c r="N51" s="14"/>
      <c r="O51" s="6" t="s">
        <v>2</v>
      </c>
    </row>
    <row r="52" spans="10:15" x14ac:dyDescent="0.25">
      <c r="J52" s="3" t="s">
        <v>156</v>
      </c>
      <c r="K52" s="23" t="s">
        <v>95</v>
      </c>
      <c r="L52" s="24" t="s">
        <v>225</v>
      </c>
      <c r="M52" s="24" t="s">
        <v>215</v>
      </c>
      <c r="N52" s="14" t="s">
        <v>2</v>
      </c>
      <c r="O52" s="10" t="s">
        <v>226</v>
      </c>
    </row>
    <row r="53" spans="10:15" x14ac:dyDescent="0.25">
      <c r="J53" s="9" t="s">
        <v>157</v>
      </c>
      <c r="K53" s="3" t="s">
        <v>1</v>
      </c>
      <c r="L53" s="4"/>
      <c r="M53" s="4"/>
      <c r="N53" s="14" t="s">
        <v>2</v>
      </c>
      <c r="O53" s="6" t="s">
        <v>2</v>
      </c>
    </row>
    <row r="54" spans="10:15" x14ac:dyDescent="0.25">
      <c r="J54" s="9" t="s">
        <v>160</v>
      </c>
      <c r="K54" s="3" t="s">
        <v>1</v>
      </c>
      <c r="L54" s="4"/>
      <c r="M54" s="4"/>
      <c r="N54" s="14" t="s">
        <v>2</v>
      </c>
      <c r="O54" s="6" t="s">
        <v>2</v>
      </c>
    </row>
    <row r="55" spans="10:15" x14ac:dyDescent="0.25">
      <c r="J55" s="9" t="s">
        <v>158</v>
      </c>
      <c r="K55" s="3" t="s">
        <v>93</v>
      </c>
      <c r="L55" s="5" t="s">
        <v>107</v>
      </c>
      <c r="M55" s="3" t="s">
        <v>91</v>
      </c>
      <c r="N55" s="14">
        <v>51</v>
      </c>
      <c r="O55" s="6" t="s">
        <v>3</v>
      </c>
    </row>
    <row r="56" spans="10:15" x14ac:dyDescent="0.25">
      <c r="J56" s="9" t="s">
        <v>159</v>
      </c>
      <c r="K56" s="3" t="s">
        <v>93</v>
      </c>
      <c r="L56" s="5" t="s">
        <v>108</v>
      </c>
      <c r="M56" s="3" t="s">
        <v>91</v>
      </c>
      <c r="N56" s="14">
        <v>51</v>
      </c>
      <c r="O56" s="6" t="s">
        <v>3</v>
      </c>
    </row>
    <row r="57" spans="10:15" x14ac:dyDescent="0.25">
      <c r="J57" s="9" t="s">
        <v>161</v>
      </c>
      <c r="K57" s="20" t="s">
        <v>95</v>
      </c>
      <c r="L57" s="5" t="s">
        <v>171</v>
      </c>
      <c r="M57" s="5" t="s">
        <v>166</v>
      </c>
      <c r="N57" s="14" t="s">
        <v>2</v>
      </c>
      <c r="O57" s="6" t="s">
        <v>2</v>
      </c>
    </row>
  </sheetData>
  <mergeCells count="35">
    <mergeCell ref="A5:B5"/>
    <mergeCell ref="C5:F5"/>
    <mergeCell ref="A24:F24"/>
    <mergeCell ref="A25:F25"/>
    <mergeCell ref="A26:F26"/>
    <mergeCell ref="A27:F27"/>
    <mergeCell ref="A20:C20"/>
    <mergeCell ref="D20:F20"/>
    <mergeCell ref="A21:C21"/>
    <mergeCell ref="D21:F21"/>
    <mergeCell ref="A23:F23"/>
    <mergeCell ref="A6:B6"/>
    <mergeCell ref="C6:F6"/>
    <mergeCell ref="A8:B8"/>
    <mergeCell ref="C8:F8"/>
    <mergeCell ref="A9:B9"/>
    <mergeCell ref="C9:F9"/>
    <mergeCell ref="A7:B7"/>
    <mergeCell ref="C7:F7"/>
    <mergeCell ref="A19:C19"/>
    <mergeCell ref="D19:F19"/>
    <mergeCell ref="A11:B11"/>
    <mergeCell ref="C11:F11"/>
    <mergeCell ref="A14:C14"/>
    <mergeCell ref="D14:F14"/>
    <mergeCell ref="A15:C15"/>
    <mergeCell ref="D15:F15"/>
    <mergeCell ref="A12:B12"/>
    <mergeCell ref="C12:F12"/>
    <mergeCell ref="A10:B10"/>
    <mergeCell ref="C10:F10"/>
    <mergeCell ref="A16:C16"/>
    <mergeCell ref="D16:F16"/>
    <mergeCell ref="A18:C18"/>
    <mergeCell ref="D18:F18"/>
  </mergeCells>
  <conditionalFormatting sqref="K5:K28">
    <cfRule type="expression" dxfId="7" priority="5" stopIfTrue="1">
      <formula>J5=""</formula>
    </cfRule>
  </conditionalFormatting>
  <conditionalFormatting sqref="K57">
    <cfRule type="expression" dxfId="6" priority="4" stopIfTrue="1">
      <formula>J57=""</formula>
    </cfRule>
  </conditionalFormatting>
  <conditionalFormatting sqref="K52">
    <cfRule type="expression" dxfId="5" priority="3" stopIfTrue="1">
      <formula>J52=""</formula>
    </cfRule>
  </conditionalFormatting>
  <conditionalFormatting sqref="K29:K48">
    <cfRule type="expression" dxfId="4" priority="1" stopIfTrue="1">
      <formula>J28=""</formula>
    </cfRule>
  </conditionalFormatting>
  <dataValidations count="2">
    <dataValidation type="list" allowBlank="1" showInputMessage="1" showErrorMessage="1" sqref="K57 K5:K28 K52" xr:uid="{00000000-0002-0000-0300-000000000000}">
      <formula1>IF(ISERROR(VLOOKUP(L503,M503:M$575,3,FALSE)),"",INDIRECT(VLOOKUP(L503,M503:M$575,3,FALSE)))</formula1>
    </dataValidation>
    <dataValidation type="list" allowBlank="1" showInputMessage="1" showErrorMessage="1" sqref="K29:K48" xr:uid="{00000000-0002-0000-0300-000001000000}">
      <formula1>IF(ISERROR(VLOOKUP(L526,M526:M$575,3,FALSE)),"",INDIRECT(VLOOKUP(L526,M526:M$575,3,FALSE)))</formula1>
    </dataValidation>
  </dataValidations>
  <pageMargins left="0.7" right="0.7" top="0.75" bottom="0.75" header="0.3" footer="0.3"/>
  <pageSetup paperSize="9"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A2:O59"/>
  <sheetViews>
    <sheetView zoomScale="80" zoomScaleNormal="80" workbookViewId="0">
      <pane ySplit="4" topLeftCell="A5" activePane="bottomLeft" state="frozen"/>
      <selection pane="bottomLeft" activeCell="C10" sqref="C8:F10"/>
    </sheetView>
  </sheetViews>
  <sheetFormatPr defaultRowHeight="15" x14ac:dyDescent="0.25"/>
  <cols>
    <col min="10" max="10" width="16.7109375" bestFit="1" customWidth="1"/>
    <col min="11" max="11" width="19.140625" bestFit="1" customWidth="1"/>
    <col min="12" max="12" width="22.28515625" bestFit="1" customWidth="1"/>
    <col min="13" max="13" width="16" bestFit="1" customWidth="1"/>
    <col min="14" max="14" width="7.5703125" bestFit="1" customWidth="1"/>
    <col min="15" max="15" width="11.140625" bestFit="1" customWidth="1"/>
    <col min="16" max="16" width="16" bestFit="1" customWidth="1"/>
    <col min="17" max="17" width="5.7109375" customWidth="1"/>
    <col min="18" max="18" width="14.140625" bestFit="1" customWidth="1"/>
    <col min="19" max="19" width="16" bestFit="1" customWidth="1"/>
    <col min="20" max="20" width="17.85546875" bestFit="1" customWidth="1"/>
    <col min="21" max="21" width="14.85546875" bestFit="1" customWidth="1"/>
    <col min="22" max="22" width="11.5703125" bestFit="1" customWidth="1"/>
    <col min="23" max="23" width="9.42578125" bestFit="1" customWidth="1"/>
    <col min="24" max="24" width="12.42578125" bestFit="1" customWidth="1"/>
  </cols>
  <sheetData>
    <row r="2" spans="1:15" x14ac:dyDescent="0.25">
      <c r="J2" s="111" t="s">
        <v>172</v>
      </c>
      <c r="K2" s="111"/>
      <c r="L2" s="111"/>
      <c r="M2" s="111"/>
      <c r="N2" s="111"/>
      <c r="O2" s="111"/>
    </row>
    <row r="3" spans="1:15" x14ac:dyDescent="0.25">
      <c r="G3" s="16"/>
      <c r="J3" s="112" t="s">
        <v>0</v>
      </c>
      <c r="K3" s="113"/>
      <c r="L3" s="113" t="s">
        <v>9</v>
      </c>
      <c r="M3" s="113"/>
      <c r="N3" s="113" t="s">
        <v>6</v>
      </c>
      <c r="O3" s="114"/>
    </row>
    <row r="4" spans="1:15" x14ac:dyDescent="0.25">
      <c r="A4" s="149" t="s">
        <v>230</v>
      </c>
      <c r="B4" s="149"/>
      <c r="C4" s="150"/>
      <c r="D4" s="150"/>
      <c r="E4" s="150"/>
      <c r="F4" s="150"/>
      <c r="G4" s="17"/>
      <c r="J4" s="1" t="s">
        <v>19</v>
      </c>
      <c r="K4" s="19" t="s">
        <v>20</v>
      </c>
      <c r="L4" s="19" t="s">
        <v>12</v>
      </c>
      <c r="M4" s="19" t="s">
        <v>8</v>
      </c>
      <c r="N4" s="7" t="s">
        <v>10</v>
      </c>
      <c r="O4" s="7" t="s">
        <v>11</v>
      </c>
    </row>
    <row r="5" spans="1:15" x14ac:dyDescent="0.25">
      <c r="A5" s="244" t="s">
        <v>591</v>
      </c>
      <c r="B5" s="244"/>
      <c r="C5" s="231" t="s">
        <v>593</v>
      </c>
      <c r="D5" s="231"/>
      <c r="E5" s="231"/>
      <c r="F5" s="231"/>
      <c r="G5" s="17"/>
      <c r="J5" s="3" t="s">
        <v>38</v>
      </c>
      <c r="K5" s="3" t="s">
        <v>93</v>
      </c>
      <c r="L5" s="3" t="str">
        <f>'Node Inventory'!A6</f>
        <v>sah</v>
      </c>
      <c r="M5" s="5" t="str">
        <f ca="1">OFFSET(NetworkInterfaces[[#Headers],[Bond0-NIC1]],1,)</f>
        <v>em1</v>
      </c>
      <c r="N5" s="6">
        <v>1</v>
      </c>
      <c r="O5" s="10" t="s">
        <v>3</v>
      </c>
    </row>
    <row r="6" spans="1:15" x14ac:dyDescent="0.25">
      <c r="A6" s="244" t="s">
        <v>14</v>
      </c>
      <c r="B6" s="244"/>
      <c r="C6" s="231" t="s">
        <v>572</v>
      </c>
      <c r="D6" s="231"/>
      <c r="E6" s="231"/>
      <c r="F6" s="231"/>
      <c r="G6" s="17"/>
      <c r="J6" s="3" t="s">
        <v>39</v>
      </c>
      <c r="K6" s="3" t="s">
        <v>93</v>
      </c>
      <c r="L6" s="3" t="str">
        <f>'Node Inventory'!A9</f>
        <v>controller_0</v>
      </c>
      <c r="M6" s="5" t="str">
        <f ca="1">OFFSET(NetworkInterfaces[[#Headers],[Bond0-NIC1]],2,)</f>
        <v>em1</v>
      </c>
      <c r="N6" s="6">
        <v>2</v>
      </c>
      <c r="O6" s="10" t="s">
        <v>3</v>
      </c>
    </row>
    <row r="7" spans="1:15" x14ac:dyDescent="0.25">
      <c r="A7" s="225" t="s">
        <v>582</v>
      </c>
      <c r="B7" s="226"/>
      <c r="C7" s="227" t="s">
        <v>584</v>
      </c>
      <c r="D7" s="228"/>
      <c r="E7" s="228"/>
      <c r="F7" s="229"/>
      <c r="G7" s="17"/>
      <c r="J7" s="3" t="s">
        <v>40</v>
      </c>
      <c r="K7" s="3" t="s">
        <v>93</v>
      </c>
      <c r="L7" s="3" t="str">
        <f>'Node Inventory'!A10</f>
        <v>controller_1</v>
      </c>
      <c r="M7" s="5" t="str">
        <f ca="1">OFFSET(NetworkInterfaces[[#Headers],[Bond0-NIC1]],2,)</f>
        <v>em1</v>
      </c>
      <c r="N7" s="6">
        <v>3</v>
      </c>
      <c r="O7" s="10" t="s">
        <v>3</v>
      </c>
    </row>
    <row r="8" spans="1:15" x14ac:dyDescent="0.25">
      <c r="A8" s="245" t="s">
        <v>13</v>
      </c>
      <c r="B8" s="245"/>
      <c r="C8" s="227" t="s">
        <v>720</v>
      </c>
      <c r="D8" s="228"/>
      <c r="E8" s="228"/>
      <c r="F8" s="229"/>
      <c r="G8" s="16"/>
      <c r="J8" s="3" t="s">
        <v>41</v>
      </c>
      <c r="K8" s="3" t="s">
        <v>93</v>
      </c>
      <c r="L8" s="3" t="str">
        <f>'Node Inventory'!A11</f>
        <v>controller_2</v>
      </c>
      <c r="M8" s="5" t="str">
        <f ca="1">OFFSET(NetworkInterfaces[[#Headers],[Bond0-NIC1]],2,)</f>
        <v>em1</v>
      </c>
      <c r="N8" s="6">
        <v>4</v>
      </c>
      <c r="O8" s="10" t="s">
        <v>3</v>
      </c>
    </row>
    <row r="9" spans="1:15" x14ac:dyDescent="0.25">
      <c r="A9" s="244" t="s">
        <v>4</v>
      </c>
      <c r="B9" s="244"/>
      <c r="C9" s="231" t="s">
        <v>676</v>
      </c>
      <c r="D9" s="231"/>
      <c r="E9" s="231"/>
      <c r="F9" s="231"/>
      <c r="G9" s="17"/>
      <c r="J9" s="3" t="s">
        <v>42</v>
      </c>
      <c r="K9" s="3" t="s">
        <v>96</v>
      </c>
      <c r="L9" s="3" t="str">
        <f>'Node Inventory'!A12</f>
        <v>compute_0</v>
      </c>
      <c r="M9" s="5" t="str">
        <f ca="1">OFFSET(NetworkInterfaces[[#Headers],[Bond0-NIC1]],3,)</f>
        <v>em1</v>
      </c>
      <c r="N9" s="6">
        <v>5</v>
      </c>
      <c r="O9" s="10" t="s">
        <v>3</v>
      </c>
    </row>
    <row r="10" spans="1:15" x14ac:dyDescent="0.25">
      <c r="A10" s="225" t="s">
        <v>570</v>
      </c>
      <c r="B10" s="226"/>
      <c r="C10" s="227" t="s">
        <v>721</v>
      </c>
      <c r="D10" s="228"/>
      <c r="E10" s="228"/>
      <c r="F10" s="229"/>
      <c r="G10" s="17"/>
      <c r="J10" s="3" t="s">
        <v>43</v>
      </c>
      <c r="K10" s="3" t="s">
        <v>96</v>
      </c>
      <c r="L10" s="3" t="str">
        <f>'Node Inventory'!A13</f>
        <v>compute_1</v>
      </c>
      <c r="M10" s="5" t="str">
        <f ca="1">OFFSET(NetworkInterfaces[[#Headers],[Bond0-NIC1]],3,)</f>
        <v>em1</v>
      </c>
      <c r="N10" s="6">
        <v>6</v>
      </c>
      <c r="O10" s="10" t="s">
        <v>3</v>
      </c>
    </row>
    <row r="11" spans="1:15" x14ac:dyDescent="0.25">
      <c r="A11" s="225" t="s">
        <v>174</v>
      </c>
      <c r="B11" s="226"/>
      <c r="C11" s="227" t="s">
        <v>259</v>
      </c>
      <c r="D11" s="228"/>
      <c r="E11" s="228"/>
      <c r="F11" s="229"/>
      <c r="G11" s="17"/>
      <c r="J11" s="3" t="s">
        <v>44</v>
      </c>
      <c r="K11" s="3" t="s">
        <v>96</v>
      </c>
      <c r="L11" s="3" t="str">
        <f>'Node Inventory'!A14</f>
        <v>compute_2</v>
      </c>
      <c r="M11" s="5" t="str">
        <f ca="1">OFFSET(NetworkInterfaces[[#Headers],[Bond0-NIC1]],3,)</f>
        <v>em1</v>
      </c>
      <c r="N11" s="6">
        <v>7</v>
      </c>
      <c r="O11" s="10" t="s">
        <v>3</v>
      </c>
    </row>
    <row r="12" spans="1:15" x14ac:dyDescent="0.25">
      <c r="A12" s="225" t="s">
        <v>24</v>
      </c>
      <c r="B12" s="226"/>
      <c r="C12" s="227" t="s">
        <v>228</v>
      </c>
      <c r="D12" s="228"/>
      <c r="E12" s="228"/>
      <c r="F12" s="229"/>
      <c r="G12" s="16"/>
      <c r="J12" s="3" t="s">
        <v>45</v>
      </c>
      <c r="K12" s="3" t="s">
        <v>96</v>
      </c>
      <c r="L12" s="3" t="str">
        <f>'Node Inventory'!A15</f>
        <v>storage_0</v>
      </c>
      <c r="M12" s="5" t="str">
        <f ca="1">OFFSET(NetworkInterfaces[[#Headers],[Bond0-NIC1]],3,)</f>
        <v>em1</v>
      </c>
      <c r="N12" s="6">
        <v>8</v>
      </c>
      <c r="O12" s="10" t="s">
        <v>3</v>
      </c>
    </row>
    <row r="13" spans="1:15" x14ac:dyDescent="0.25">
      <c r="G13" s="17"/>
      <c r="J13" s="3" t="s">
        <v>46</v>
      </c>
      <c r="K13" s="3" t="s">
        <v>96</v>
      </c>
      <c r="L13" s="3" t="str">
        <f>'Node Inventory'!A16</f>
        <v>storage_1</v>
      </c>
      <c r="M13" s="5" t="str">
        <f ca="1">OFFSET(NetworkInterfaces[[#Headers],[Bond0-NIC1]],3,)</f>
        <v>em1</v>
      </c>
      <c r="N13" s="6">
        <v>9</v>
      </c>
      <c r="O13" s="10" t="s">
        <v>3</v>
      </c>
    </row>
    <row r="14" spans="1:15" x14ac:dyDescent="0.25">
      <c r="A14" s="146" t="s">
        <v>32</v>
      </c>
      <c r="B14" s="146"/>
      <c r="C14" s="146"/>
      <c r="D14" s="262" t="s">
        <v>92</v>
      </c>
      <c r="E14" s="263"/>
      <c r="F14" s="264"/>
      <c r="G14" s="17"/>
      <c r="J14" s="3" t="s">
        <v>47</v>
      </c>
      <c r="K14" s="3" t="s">
        <v>96</v>
      </c>
      <c r="L14" s="3" t="str">
        <f>'Node Inventory'!A17</f>
        <v>storage_2</v>
      </c>
      <c r="M14" s="5" t="str">
        <f ca="1">OFFSET(NetworkInterfaces[[#Headers],[Bond0-NIC1]],3,)</f>
        <v>em1</v>
      </c>
      <c r="N14" s="6">
        <v>10</v>
      </c>
      <c r="O14" s="10" t="s">
        <v>3</v>
      </c>
    </row>
    <row r="15" spans="1:15" x14ac:dyDescent="0.25">
      <c r="A15" s="147" t="s">
        <v>15</v>
      </c>
      <c r="B15" s="147"/>
      <c r="C15" s="147"/>
      <c r="D15" s="227"/>
      <c r="E15" s="263"/>
      <c r="F15" s="264"/>
      <c r="G15" s="17"/>
      <c r="J15" s="3" t="s">
        <v>48</v>
      </c>
      <c r="K15" s="3" t="s">
        <v>96</v>
      </c>
      <c r="L15" s="3" t="str">
        <f>'Node Inventory'!A18</f>
        <v>open_0</v>
      </c>
      <c r="M15" s="5" t="str">
        <f ca="1">OFFSET(NetworkInterfaces[[#Headers],[Bond0-NIC1]],3,)</f>
        <v>em1</v>
      </c>
      <c r="N15" s="6">
        <v>11</v>
      </c>
      <c r="O15" s="10" t="s">
        <v>3</v>
      </c>
    </row>
    <row r="16" spans="1:15" x14ac:dyDescent="0.25">
      <c r="A16" s="148" t="s">
        <v>16</v>
      </c>
      <c r="B16" s="148"/>
      <c r="C16" s="148"/>
      <c r="D16" s="227">
        <v>16384</v>
      </c>
      <c r="E16" s="263"/>
      <c r="F16" s="264"/>
      <c r="G16" s="17"/>
      <c r="J16" s="3" t="s">
        <v>49</v>
      </c>
      <c r="K16" s="3" t="s">
        <v>96</v>
      </c>
      <c r="L16" s="3" t="str">
        <f>'Node Inventory'!A19</f>
        <v>open_0</v>
      </c>
      <c r="M16" s="5" t="str">
        <f ca="1">OFFSET(NetworkInterfaces[[#Headers],[Bond0-NIC1]],3,)</f>
        <v>em1</v>
      </c>
      <c r="N16" s="6">
        <v>12</v>
      </c>
      <c r="O16" s="10" t="s">
        <v>3</v>
      </c>
    </row>
    <row r="17" spans="1:15" x14ac:dyDescent="0.25">
      <c r="J17" s="3" t="s">
        <v>50</v>
      </c>
      <c r="K17" s="3" t="s">
        <v>96</v>
      </c>
      <c r="L17" s="3" t="str">
        <f>'Node Inventory'!A20</f>
        <v>open_0</v>
      </c>
      <c r="M17" s="5" t="str">
        <f ca="1">OFFSET(NetworkInterfaces[[#Headers],[Bond0-NIC1]],3,)</f>
        <v>em1</v>
      </c>
      <c r="N17" s="6">
        <v>13</v>
      </c>
      <c r="O17" s="10" t="s">
        <v>3</v>
      </c>
    </row>
    <row r="18" spans="1:15" x14ac:dyDescent="0.25">
      <c r="A18" s="140" t="s">
        <v>17</v>
      </c>
      <c r="B18" s="141"/>
      <c r="C18" s="142"/>
      <c r="D18" s="227"/>
      <c r="E18" s="263"/>
      <c r="F18" s="264"/>
      <c r="J18" s="3" t="s">
        <v>51</v>
      </c>
      <c r="K18" s="3" t="s">
        <v>96</v>
      </c>
      <c r="L18" s="3" t="str">
        <f>'Node Inventory'!A21</f>
        <v>open_0</v>
      </c>
      <c r="M18" s="5" t="str">
        <f ca="1">OFFSET(NetworkInterfaces[[#Headers],[Bond0-NIC1]],3,)</f>
        <v>em1</v>
      </c>
      <c r="N18" s="6">
        <v>14</v>
      </c>
      <c r="O18" s="10" t="s">
        <v>3</v>
      </c>
    </row>
    <row r="19" spans="1:15" x14ac:dyDescent="0.25">
      <c r="A19" s="137" t="s">
        <v>18</v>
      </c>
      <c r="B19" s="138"/>
      <c r="C19" s="139"/>
      <c r="D19" s="238">
        <v>1</v>
      </c>
      <c r="E19" s="263"/>
      <c r="F19" s="264"/>
      <c r="J19" s="3" t="s">
        <v>52</v>
      </c>
      <c r="K19" s="3" t="s">
        <v>488</v>
      </c>
      <c r="L19" s="3" t="str">
        <f>'Node Inventory'!A22</f>
        <v>open_0</v>
      </c>
      <c r="M19" s="5" t="str">
        <f ca="1">OFFSET(NetworkInterfaces[[#Headers],[Bond0-NIC1]],3,)</f>
        <v>em1</v>
      </c>
      <c r="N19" s="6">
        <v>15</v>
      </c>
      <c r="O19" s="10" t="s">
        <v>3</v>
      </c>
    </row>
    <row r="20" spans="1:15" x14ac:dyDescent="0.25">
      <c r="A20" s="137" t="s">
        <v>31</v>
      </c>
      <c r="B20" s="138"/>
      <c r="C20" s="139"/>
      <c r="D20" s="227">
        <v>1</v>
      </c>
      <c r="E20" s="263"/>
      <c r="F20" s="264"/>
      <c r="J20" s="3" t="s">
        <v>53</v>
      </c>
      <c r="K20" s="3" t="s">
        <v>488</v>
      </c>
      <c r="L20" s="3" t="str">
        <f>'Node Inventory'!A23</f>
        <v>open_0</v>
      </c>
      <c r="M20" s="5" t="str">
        <f ca="1">OFFSET(NetworkInterfaces[[#Headers],[Bond0-NIC1]],4,)</f>
        <v>em1</v>
      </c>
      <c r="N20" s="6">
        <v>16</v>
      </c>
      <c r="O20" s="10" t="s">
        <v>3</v>
      </c>
    </row>
    <row r="21" spans="1:15" x14ac:dyDescent="0.25">
      <c r="A21" s="140" t="s">
        <v>21</v>
      </c>
      <c r="B21" s="141"/>
      <c r="C21" s="142"/>
      <c r="D21" s="227">
        <v>0</v>
      </c>
      <c r="E21" s="263"/>
      <c r="F21" s="264"/>
      <c r="J21" s="3" t="s">
        <v>54</v>
      </c>
      <c r="K21" s="3" t="s">
        <v>488</v>
      </c>
      <c r="L21" s="3" t="str">
        <f>'Node Inventory'!A24</f>
        <v>open_0</v>
      </c>
      <c r="M21" s="5" t="str">
        <f ca="1">OFFSET(NetworkInterfaces[[#Headers],[Bond0-NIC1]],4,)</f>
        <v>em1</v>
      </c>
      <c r="N21" s="6">
        <v>17</v>
      </c>
      <c r="O21" s="10" t="s">
        <v>3</v>
      </c>
    </row>
    <row r="22" spans="1:15" x14ac:dyDescent="0.25">
      <c r="J22" s="3" t="s">
        <v>55</v>
      </c>
      <c r="K22" s="3" t="s">
        <v>488</v>
      </c>
      <c r="L22" s="3" t="str">
        <f>'Node Inventory'!A25</f>
        <v>open_0</v>
      </c>
      <c r="M22" s="5" t="str">
        <f ca="1">OFFSET(NetworkInterfaces[[#Headers],[Bond0-NIC1]],4,)</f>
        <v>em1</v>
      </c>
      <c r="N22" s="6">
        <v>18</v>
      </c>
      <c r="O22" s="10" t="s">
        <v>3</v>
      </c>
    </row>
    <row r="23" spans="1:15" x14ac:dyDescent="0.25">
      <c r="A23" s="143" t="s">
        <v>23</v>
      </c>
      <c r="B23" s="144"/>
      <c r="C23" s="144"/>
      <c r="D23" s="144"/>
      <c r="E23" s="144"/>
      <c r="F23" s="145"/>
      <c r="J23" s="3" t="s">
        <v>56</v>
      </c>
      <c r="K23" s="3" t="s">
        <v>488</v>
      </c>
      <c r="L23" s="3" t="str">
        <f>'Node Inventory'!A26</f>
        <v>open_0</v>
      </c>
      <c r="M23" s="5" t="str">
        <f ca="1">OFFSET(NetworkInterfaces[[#Headers],[Bond0-NIC1]],4,)</f>
        <v>em1</v>
      </c>
      <c r="N23" s="6">
        <v>19</v>
      </c>
      <c r="O23" s="10" t="s">
        <v>3</v>
      </c>
    </row>
    <row r="24" spans="1:15" x14ac:dyDescent="0.25">
      <c r="A24" s="131"/>
      <c r="B24" s="132"/>
      <c r="C24" s="132"/>
      <c r="D24" s="132"/>
      <c r="E24" s="132"/>
      <c r="F24" s="133"/>
      <c r="J24" s="3" t="s">
        <v>57</v>
      </c>
      <c r="K24" s="3" t="s">
        <v>488</v>
      </c>
      <c r="L24" s="3" t="str">
        <f>'Node Inventory'!A27</f>
        <v>open_0</v>
      </c>
      <c r="M24" s="5" t="str">
        <f ca="1">OFFSET(NetworkInterfaces[[#Headers],[Bond0-NIC1]],4,)</f>
        <v>em1</v>
      </c>
      <c r="N24" s="6">
        <v>20</v>
      </c>
      <c r="O24" s="10" t="s">
        <v>3</v>
      </c>
    </row>
    <row r="25" spans="1:15" x14ac:dyDescent="0.25">
      <c r="A25" s="134"/>
      <c r="B25" s="135"/>
      <c r="C25" s="135"/>
      <c r="D25" s="135"/>
      <c r="E25" s="135"/>
      <c r="F25" s="136"/>
      <c r="J25" s="3" t="s">
        <v>58</v>
      </c>
      <c r="K25" s="3" t="s">
        <v>488</v>
      </c>
      <c r="L25" s="3" t="str">
        <f>'Node Inventory'!A28</f>
        <v>open_0</v>
      </c>
      <c r="M25" s="5" t="str">
        <f ca="1">OFFSET(NetworkInterfaces[[#Headers],[Bond0-NIC1]],4,)</f>
        <v>em1</v>
      </c>
      <c r="N25" s="6">
        <v>21</v>
      </c>
      <c r="O25" s="10" t="s">
        <v>3</v>
      </c>
    </row>
    <row r="26" spans="1:15" x14ac:dyDescent="0.25">
      <c r="A26" s="131"/>
      <c r="B26" s="132"/>
      <c r="C26" s="132"/>
      <c r="D26" s="132"/>
      <c r="E26" s="132"/>
      <c r="F26" s="133"/>
      <c r="J26" s="3" t="s">
        <v>59</v>
      </c>
      <c r="K26" s="3" t="s">
        <v>1</v>
      </c>
      <c r="L26" s="5"/>
      <c r="M26" s="5"/>
      <c r="N26" s="10">
        <v>22</v>
      </c>
      <c r="O26" s="5"/>
    </row>
    <row r="27" spans="1:15" ht="15" customHeight="1" x14ac:dyDescent="0.25">
      <c r="A27" s="134"/>
      <c r="B27" s="135"/>
      <c r="C27" s="135"/>
      <c r="D27" s="135"/>
      <c r="E27" s="135"/>
      <c r="F27" s="136"/>
      <c r="J27" s="3" t="s">
        <v>60</v>
      </c>
      <c r="K27" s="3" t="s">
        <v>1</v>
      </c>
      <c r="L27" s="5"/>
      <c r="M27" s="5"/>
      <c r="N27" s="10">
        <v>23</v>
      </c>
      <c r="O27" s="10"/>
    </row>
    <row r="28" spans="1:15" x14ac:dyDescent="0.25">
      <c r="J28" s="3" t="s">
        <v>61</v>
      </c>
      <c r="K28" s="126" t="s">
        <v>93</v>
      </c>
      <c r="L28" s="5" t="str">
        <f>'Node Inventory'!A6</f>
        <v>sah</v>
      </c>
      <c r="M28" s="5" t="str">
        <f ca="1">OFFSET(NetworkInterfaces[[#Headers],[Bond1-NIC1]],1,)</f>
        <v>em2</v>
      </c>
      <c r="N28" s="5">
        <v>24</v>
      </c>
      <c r="O28" s="10" t="s">
        <v>3</v>
      </c>
    </row>
    <row r="29" spans="1:15" x14ac:dyDescent="0.25">
      <c r="J29" s="3" t="s">
        <v>62</v>
      </c>
      <c r="K29" s="126" t="s">
        <v>93</v>
      </c>
      <c r="L29" s="5" t="str">
        <f>'Node Inventory'!A9</f>
        <v>controller_0</v>
      </c>
      <c r="M29" s="5" t="str">
        <f ca="1">OFFSET(NetworkInterfaces[[#Headers],[Bond1-NIC1]],2,)</f>
        <v>em2</v>
      </c>
      <c r="N29" s="10">
        <v>25</v>
      </c>
      <c r="O29" s="10" t="s">
        <v>3</v>
      </c>
    </row>
    <row r="30" spans="1:15" x14ac:dyDescent="0.25">
      <c r="J30" s="3" t="s">
        <v>63</v>
      </c>
      <c r="K30" s="126" t="s">
        <v>93</v>
      </c>
      <c r="L30" s="5" t="str">
        <f>'Node Inventory'!A10</f>
        <v>controller_1</v>
      </c>
      <c r="M30" s="5" t="str">
        <f ca="1">OFFSET(NetworkInterfaces[[#Headers],[Bond1-NIC1]],2,)</f>
        <v>em2</v>
      </c>
      <c r="N30" s="10">
        <v>26</v>
      </c>
      <c r="O30" s="10" t="s">
        <v>3</v>
      </c>
    </row>
    <row r="31" spans="1:15" x14ac:dyDescent="0.25">
      <c r="J31" s="3" t="s">
        <v>64</v>
      </c>
      <c r="K31" s="126" t="s">
        <v>93</v>
      </c>
      <c r="L31" s="5" t="str">
        <f>'Node Inventory'!A11</f>
        <v>controller_2</v>
      </c>
      <c r="M31" s="5" t="str">
        <f ca="1">OFFSET(NetworkInterfaces[[#Headers],[Bond1-NIC1]],2,)</f>
        <v>em2</v>
      </c>
      <c r="N31" s="10">
        <v>27</v>
      </c>
      <c r="O31" s="10" t="s">
        <v>3</v>
      </c>
    </row>
    <row r="32" spans="1:15" x14ac:dyDescent="0.25">
      <c r="J32" s="3" t="s">
        <v>65</v>
      </c>
      <c r="K32" s="126" t="s">
        <v>96</v>
      </c>
      <c r="L32" s="5" t="str">
        <f>'Node Inventory'!A12</f>
        <v>compute_0</v>
      </c>
      <c r="M32" s="5" t="str">
        <f ca="1">OFFSET(NetworkInterfaces[[#Headers],[Bond1-NIC1]],3,)</f>
        <v>em2</v>
      </c>
      <c r="N32" s="10">
        <v>28</v>
      </c>
      <c r="O32" s="10" t="s">
        <v>3</v>
      </c>
    </row>
    <row r="33" spans="10:15" x14ac:dyDescent="0.25">
      <c r="J33" s="3" t="s">
        <v>66</v>
      </c>
      <c r="K33" s="126" t="s">
        <v>96</v>
      </c>
      <c r="L33" s="5" t="str">
        <f>'Node Inventory'!A13</f>
        <v>compute_1</v>
      </c>
      <c r="M33" s="5" t="str">
        <f ca="1">OFFSET(NetworkInterfaces[[#Headers],[Bond1-NIC1]],3,)</f>
        <v>em2</v>
      </c>
      <c r="N33" s="10">
        <v>29</v>
      </c>
      <c r="O33" s="10" t="s">
        <v>3</v>
      </c>
    </row>
    <row r="34" spans="10:15" x14ac:dyDescent="0.25">
      <c r="J34" s="3" t="s">
        <v>67</v>
      </c>
      <c r="K34" s="126" t="s">
        <v>96</v>
      </c>
      <c r="L34" s="5" t="str">
        <f>'Node Inventory'!A14</f>
        <v>compute_2</v>
      </c>
      <c r="M34" s="5" t="str">
        <f ca="1">OFFSET(NetworkInterfaces[[#Headers],[Bond1-NIC1]],3,)</f>
        <v>em2</v>
      </c>
      <c r="N34" s="10">
        <v>30</v>
      </c>
      <c r="O34" s="10" t="s">
        <v>3</v>
      </c>
    </row>
    <row r="35" spans="10:15" x14ac:dyDescent="0.25">
      <c r="J35" s="3" t="s">
        <v>68</v>
      </c>
      <c r="K35" s="126" t="s">
        <v>96</v>
      </c>
      <c r="L35" s="5" t="str">
        <f>'Node Inventory'!A15</f>
        <v>storage_0</v>
      </c>
      <c r="M35" s="5" t="str">
        <f ca="1">OFFSET(NetworkInterfaces[[#Headers],[Bond1-NIC1]],3,)</f>
        <v>em2</v>
      </c>
      <c r="N35" s="10">
        <v>31</v>
      </c>
      <c r="O35" s="10" t="s">
        <v>3</v>
      </c>
    </row>
    <row r="36" spans="10:15" x14ac:dyDescent="0.25">
      <c r="J36" s="3" t="s">
        <v>69</v>
      </c>
      <c r="K36" s="126" t="s">
        <v>96</v>
      </c>
      <c r="L36" s="5" t="str">
        <f>'Node Inventory'!A16</f>
        <v>storage_1</v>
      </c>
      <c r="M36" s="5" t="str">
        <f ca="1">OFFSET(NetworkInterfaces[[#Headers],[Bond1-NIC1]],3,)</f>
        <v>em2</v>
      </c>
      <c r="N36" s="10">
        <v>32</v>
      </c>
      <c r="O36" s="10" t="s">
        <v>3</v>
      </c>
    </row>
    <row r="37" spans="10:15" x14ac:dyDescent="0.25">
      <c r="J37" s="3" t="s">
        <v>70</v>
      </c>
      <c r="K37" s="126" t="s">
        <v>96</v>
      </c>
      <c r="L37" s="5" t="str">
        <f>'Node Inventory'!A17</f>
        <v>storage_2</v>
      </c>
      <c r="M37" s="5" t="str">
        <f ca="1">OFFSET(NetworkInterfaces[[#Headers],[Bond1-NIC1]],3,)</f>
        <v>em2</v>
      </c>
      <c r="N37" s="10">
        <v>33</v>
      </c>
      <c r="O37" s="10" t="s">
        <v>3</v>
      </c>
    </row>
    <row r="38" spans="10:15" x14ac:dyDescent="0.25">
      <c r="J38" s="3" t="s">
        <v>71</v>
      </c>
      <c r="K38" s="126" t="s">
        <v>96</v>
      </c>
      <c r="L38" s="5" t="str">
        <f>'Node Inventory'!A18</f>
        <v>open_0</v>
      </c>
      <c r="M38" s="5" t="str">
        <f ca="1">OFFSET(NetworkInterfaces[[#Headers],[Bond1-NIC1]],3,)</f>
        <v>em2</v>
      </c>
      <c r="N38" s="10">
        <v>34</v>
      </c>
      <c r="O38" s="10" t="s">
        <v>3</v>
      </c>
    </row>
    <row r="39" spans="10:15" x14ac:dyDescent="0.25">
      <c r="J39" s="3" t="s">
        <v>72</v>
      </c>
      <c r="K39" s="126" t="s">
        <v>96</v>
      </c>
      <c r="L39" s="5" t="str">
        <f>'Node Inventory'!A19</f>
        <v>open_0</v>
      </c>
      <c r="M39" s="5" t="str">
        <f ca="1">OFFSET(NetworkInterfaces[[#Headers],[Bond1-NIC1]],3,)</f>
        <v>em2</v>
      </c>
      <c r="N39" s="10">
        <v>35</v>
      </c>
      <c r="O39" s="10" t="s">
        <v>3</v>
      </c>
    </row>
    <row r="40" spans="10:15" x14ac:dyDescent="0.25">
      <c r="J40" s="3" t="s">
        <v>73</v>
      </c>
      <c r="K40" s="126" t="s">
        <v>96</v>
      </c>
      <c r="L40" s="5" t="str">
        <f>'Node Inventory'!A20</f>
        <v>open_0</v>
      </c>
      <c r="M40" s="5" t="str">
        <f ca="1">OFFSET(NetworkInterfaces[[#Headers],[Bond1-NIC1]],3,)</f>
        <v>em2</v>
      </c>
      <c r="N40" s="10">
        <v>36</v>
      </c>
      <c r="O40" s="10" t="s">
        <v>3</v>
      </c>
    </row>
    <row r="41" spans="10:15" x14ac:dyDescent="0.25">
      <c r="J41" s="3" t="s">
        <v>74</v>
      </c>
      <c r="K41" s="126" t="s">
        <v>96</v>
      </c>
      <c r="L41" s="5" t="str">
        <f>'Node Inventory'!A21</f>
        <v>open_0</v>
      </c>
      <c r="M41" s="5" t="str">
        <f ca="1">OFFSET(NetworkInterfaces[[#Headers],[Bond1-NIC1]],3,)</f>
        <v>em2</v>
      </c>
      <c r="N41" s="10">
        <v>37</v>
      </c>
      <c r="O41" s="10" t="s">
        <v>3</v>
      </c>
    </row>
    <row r="42" spans="10:15" x14ac:dyDescent="0.25">
      <c r="J42" s="3" t="s">
        <v>75</v>
      </c>
      <c r="K42" s="126" t="s">
        <v>488</v>
      </c>
      <c r="L42" s="5" t="str">
        <f>'Node Inventory'!A22</f>
        <v>open_0</v>
      </c>
      <c r="M42" s="5" t="str">
        <f ca="1">OFFSET(NetworkInterfaces[[#Headers],[Bond1-NIC1]],3,)</f>
        <v>em2</v>
      </c>
      <c r="N42" s="10">
        <v>38</v>
      </c>
      <c r="O42" s="10" t="s">
        <v>3</v>
      </c>
    </row>
    <row r="43" spans="10:15" x14ac:dyDescent="0.25">
      <c r="J43" s="3" t="s">
        <v>76</v>
      </c>
      <c r="K43" s="126" t="s">
        <v>488</v>
      </c>
      <c r="L43" s="5" t="str">
        <f>'Node Inventory'!A23</f>
        <v>open_0</v>
      </c>
      <c r="M43" s="5" t="str">
        <f ca="1">OFFSET(NetworkInterfaces[[#Headers],[Bond1-NIC1]],4,)</f>
        <v>em2</v>
      </c>
      <c r="N43" s="10">
        <v>39</v>
      </c>
      <c r="O43" s="10" t="s">
        <v>3</v>
      </c>
    </row>
    <row r="44" spans="10:15" x14ac:dyDescent="0.25">
      <c r="J44" s="3" t="s">
        <v>77</v>
      </c>
      <c r="K44" s="126" t="s">
        <v>488</v>
      </c>
      <c r="L44" s="5" t="str">
        <f>'Node Inventory'!A24</f>
        <v>open_0</v>
      </c>
      <c r="M44" s="5" t="str">
        <f ca="1">OFFSET(NetworkInterfaces[[#Headers],[Bond1-NIC1]],4,)</f>
        <v>em2</v>
      </c>
      <c r="N44" s="10">
        <v>40</v>
      </c>
      <c r="O44" s="10" t="s">
        <v>3</v>
      </c>
    </row>
    <row r="45" spans="10:15" x14ac:dyDescent="0.25">
      <c r="J45" s="3" t="s">
        <v>78</v>
      </c>
      <c r="K45" s="126" t="s">
        <v>488</v>
      </c>
      <c r="L45" s="5" t="str">
        <f>'Node Inventory'!A25</f>
        <v>open_0</v>
      </c>
      <c r="M45" s="5" t="str">
        <f ca="1">OFFSET(NetworkInterfaces[[#Headers],[Bond1-NIC1]],4,)</f>
        <v>em2</v>
      </c>
      <c r="N45" s="10">
        <v>41</v>
      </c>
      <c r="O45" s="10" t="s">
        <v>3</v>
      </c>
    </row>
    <row r="46" spans="10:15" x14ac:dyDescent="0.25">
      <c r="J46" s="3" t="s">
        <v>79</v>
      </c>
      <c r="K46" s="126" t="s">
        <v>488</v>
      </c>
      <c r="L46" s="5" t="str">
        <f>'Node Inventory'!A26</f>
        <v>open_0</v>
      </c>
      <c r="M46" s="5" t="str">
        <f ca="1">OFFSET(NetworkInterfaces[[#Headers],[Bond1-NIC1]],4,)</f>
        <v>em2</v>
      </c>
      <c r="N46" s="10">
        <v>42</v>
      </c>
      <c r="O46" s="10" t="s">
        <v>3</v>
      </c>
    </row>
    <row r="47" spans="10:15" x14ac:dyDescent="0.25">
      <c r="J47" s="3" t="s">
        <v>80</v>
      </c>
      <c r="K47" s="3" t="s">
        <v>488</v>
      </c>
      <c r="L47" s="3" t="str">
        <f>'Node Inventory'!A27</f>
        <v>open_0</v>
      </c>
      <c r="M47" s="5" t="str">
        <f ca="1">OFFSET(NetworkInterfaces[[#Headers],[Bond1-NIC1]],4,)</f>
        <v>em2</v>
      </c>
      <c r="N47" s="10">
        <v>43</v>
      </c>
      <c r="O47" s="10" t="s">
        <v>3</v>
      </c>
    </row>
    <row r="48" spans="10:15" x14ac:dyDescent="0.25">
      <c r="J48" s="3" t="s">
        <v>81</v>
      </c>
      <c r="K48" s="3" t="s">
        <v>488</v>
      </c>
      <c r="L48" s="3" t="str">
        <f>'Node Inventory'!A28</f>
        <v>open_0</v>
      </c>
      <c r="M48" s="5" t="str">
        <f ca="1">OFFSET(NetworkInterfaces[[#Headers],[Bond1-NIC1]],4,)</f>
        <v>em2</v>
      </c>
      <c r="N48" s="10">
        <v>44</v>
      </c>
      <c r="O48" s="10" t="s">
        <v>3</v>
      </c>
    </row>
    <row r="49" spans="10:15" x14ac:dyDescent="0.25">
      <c r="J49" s="3" t="s">
        <v>82</v>
      </c>
      <c r="K49" s="3" t="s">
        <v>1</v>
      </c>
      <c r="L49" s="11"/>
      <c r="M49" s="11"/>
      <c r="N49" s="6"/>
      <c r="O49" s="6"/>
    </row>
    <row r="50" spans="10:15" x14ac:dyDescent="0.25">
      <c r="J50" s="3" t="s">
        <v>83</v>
      </c>
      <c r="K50" s="3" t="s">
        <v>1</v>
      </c>
      <c r="L50" s="5"/>
      <c r="M50" s="11"/>
      <c r="N50" s="10"/>
      <c r="O50" s="10"/>
    </row>
    <row r="51" spans="10:15" x14ac:dyDescent="0.25">
      <c r="J51" s="3" t="s">
        <v>84</v>
      </c>
      <c r="K51" s="3" t="s">
        <v>1</v>
      </c>
      <c r="L51" s="5"/>
      <c r="M51" s="9"/>
      <c r="N51" s="6"/>
      <c r="O51" s="10"/>
    </row>
    <row r="52" spans="10:15" x14ac:dyDescent="0.25">
      <c r="J52" s="3" t="s">
        <v>85</v>
      </c>
      <c r="K52" s="3" t="s">
        <v>93</v>
      </c>
      <c r="L52" s="5" t="s">
        <v>98</v>
      </c>
      <c r="M52" s="3" t="s">
        <v>162</v>
      </c>
      <c r="N52" s="6">
        <v>48</v>
      </c>
      <c r="O52" s="6" t="s">
        <v>3</v>
      </c>
    </row>
    <row r="53" spans="10:15" x14ac:dyDescent="0.25">
      <c r="J53" s="9" t="s">
        <v>86</v>
      </c>
      <c r="K53" s="20" t="s">
        <v>94</v>
      </c>
      <c r="L53" s="5" t="s">
        <v>99</v>
      </c>
      <c r="M53" s="9" t="s">
        <v>86</v>
      </c>
      <c r="N53" s="6">
        <v>100</v>
      </c>
      <c r="O53" s="10" t="s">
        <v>100</v>
      </c>
    </row>
    <row r="54" spans="10:15" x14ac:dyDescent="0.25">
      <c r="J54" s="9" t="s">
        <v>87</v>
      </c>
      <c r="K54" s="20" t="s">
        <v>94</v>
      </c>
      <c r="L54" s="5" t="s">
        <v>99</v>
      </c>
      <c r="M54" s="9" t="s">
        <v>87</v>
      </c>
      <c r="N54" s="6">
        <v>100</v>
      </c>
      <c r="O54" s="10" t="s">
        <v>100</v>
      </c>
    </row>
    <row r="55" spans="10:15" x14ac:dyDescent="0.25">
      <c r="J55" s="9" t="s">
        <v>88</v>
      </c>
      <c r="K55" s="3" t="s">
        <v>163</v>
      </c>
      <c r="L55" s="5" t="s">
        <v>168</v>
      </c>
      <c r="M55" s="9" t="s">
        <v>164</v>
      </c>
      <c r="N55" s="6">
        <v>51</v>
      </c>
      <c r="O55" s="10" t="s">
        <v>3</v>
      </c>
    </row>
    <row r="56" spans="10:15" x14ac:dyDescent="0.25">
      <c r="J56" s="9" t="s">
        <v>22</v>
      </c>
      <c r="K56" s="3" t="s">
        <v>1</v>
      </c>
      <c r="L56" s="5"/>
      <c r="M56" s="9"/>
      <c r="N56" s="6" t="s">
        <v>2</v>
      </c>
      <c r="O56" s="6" t="s">
        <v>2</v>
      </c>
    </row>
    <row r="57" spans="10:15" x14ac:dyDescent="0.25">
      <c r="J57" s="9" t="s">
        <v>89</v>
      </c>
      <c r="K57" s="3" t="s">
        <v>1</v>
      </c>
      <c r="L57" s="4"/>
      <c r="M57" s="4"/>
      <c r="N57" s="6" t="s">
        <v>2</v>
      </c>
      <c r="O57" s="6" t="s">
        <v>2</v>
      </c>
    </row>
    <row r="58" spans="10:15" x14ac:dyDescent="0.25">
      <c r="J58" s="9" t="s">
        <v>90</v>
      </c>
      <c r="K58" s="3" t="s">
        <v>1</v>
      </c>
      <c r="L58" s="13"/>
      <c r="M58" s="13"/>
      <c r="N58" s="13"/>
      <c r="O58" s="13"/>
    </row>
    <row r="59" spans="10:15" x14ac:dyDescent="0.25">
      <c r="J59" s="9" t="s">
        <v>161</v>
      </c>
      <c r="K59" s="20" t="s">
        <v>95</v>
      </c>
      <c r="L59" s="13" t="s">
        <v>169</v>
      </c>
      <c r="M59" s="5" t="s">
        <v>148</v>
      </c>
      <c r="N59" s="14"/>
      <c r="O59" s="14"/>
    </row>
  </sheetData>
  <mergeCells count="23">
    <mergeCell ref="D20:F20"/>
    <mergeCell ref="D21:F21"/>
    <mergeCell ref="A5:B5"/>
    <mergeCell ref="C5:F5"/>
    <mergeCell ref="D14:F14"/>
    <mergeCell ref="D15:F15"/>
    <mergeCell ref="D16:F16"/>
    <mergeCell ref="D18:F18"/>
    <mergeCell ref="D19:F19"/>
    <mergeCell ref="A10:B10"/>
    <mergeCell ref="C10:F10"/>
    <mergeCell ref="A11:B11"/>
    <mergeCell ref="C11:F11"/>
    <mergeCell ref="A12:B12"/>
    <mergeCell ref="C12:F12"/>
    <mergeCell ref="A6:B6"/>
    <mergeCell ref="C6:F6"/>
    <mergeCell ref="A8:B8"/>
    <mergeCell ref="C8:F8"/>
    <mergeCell ref="A9:B9"/>
    <mergeCell ref="C9:F9"/>
    <mergeCell ref="A7:B7"/>
    <mergeCell ref="C7:F7"/>
  </mergeCells>
  <conditionalFormatting sqref="K53:K54">
    <cfRule type="expression" dxfId="3" priority="2" stopIfTrue="1">
      <formula>J53=""</formula>
    </cfRule>
  </conditionalFormatting>
  <conditionalFormatting sqref="K59">
    <cfRule type="expression" dxfId="2" priority="1" stopIfTrue="1">
      <formula>J59=""</formula>
    </cfRule>
  </conditionalFormatting>
  <dataValidations disablePrompts="1" count="1">
    <dataValidation type="list" allowBlank="1" showInputMessage="1" showErrorMessage="1" sqref="K59 K53:K54" xr:uid="{00000000-0002-0000-0400-000000000000}">
      <formula1>IF(ISERROR(VLOOKUP(L551,M551:M$576,3,FALSE)),"",INDIRECT(VLOOKUP(L551,M551:M$576,3,FALSE)))</formula1>
    </dataValidation>
  </dataValidations>
  <pageMargins left="0.7" right="0.7" top="0.75" bottom="0.75" header="0.3" footer="0.3"/>
  <pageSetup paperSize="9" orientation="portrait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FF00"/>
  </sheetPr>
  <dimension ref="A2:O88"/>
  <sheetViews>
    <sheetView zoomScale="80" zoomScaleNormal="80" workbookViewId="0">
      <pane ySplit="4" topLeftCell="A23" activePane="bottomLeft" state="frozen"/>
      <selection pane="bottomLeft" activeCell="D36" sqref="D36"/>
    </sheetView>
  </sheetViews>
  <sheetFormatPr defaultColWidth="9.140625" defaultRowHeight="15" x14ac:dyDescent="0.25"/>
  <cols>
    <col min="10" max="10" width="16.140625" bestFit="1" customWidth="1"/>
    <col min="11" max="11" width="19.140625" bestFit="1" customWidth="1"/>
    <col min="12" max="12" width="22.28515625" bestFit="1" customWidth="1"/>
    <col min="13" max="13" width="18.28515625" customWidth="1"/>
    <col min="14" max="14" width="6.5703125" bestFit="1" customWidth="1"/>
    <col min="15" max="15" width="10.85546875" bestFit="1" customWidth="1"/>
    <col min="20" max="20" width="16" bestFit="1" customWidth="1"/>
    <col min="21" max="21" width="17.85546875" bestFit="1" customWidth="1"/>
    <col min="23" max="23" width="11.5703125" bestFit="1" customWidth="1"/>
    <col min="24" max="24" width="9.42578125" bestFit="1" customWidth="1"/>
    <col min="25" max="25" width="12.42578125" bestFit="1" customWidth="1"/>
  </cols>
  <sheetData>
    <row r="2" spans="1:15" x14ac:dyDescent="0.25">
      <c r="J2" s="111" t="s">
        <v>101</v>
      </c>
      <c r="K2" s="111"/>
      <c r="L2" s="111"/>
      <c r="M2" s="111"/>
      <c r="N2" s="111"/>
      <c r="O2" s="111"/>
    </row>
    <row r="3" spans="1:15" x14ac:dyDescent="0.25">
      <c r="G3" s="16"/>
      <c r="J3" s="112" t="s">
        <v>0</v>
      </c>
      <c r="K3" s="113"/>
      <c r="L3" s="113" t="s">
        <v>9</v>
      </c>
      <c r="M3" s="113"/>
      <c r="N3" s="113" t="s">
        <v>6</v>
      </c>
      <c r="O3" s="114"/>
    </row>
    <row r="4" spans="1:15" x14ac:dyDescent="0.25">
      <c r="G4" s="17"/>
      <c r="J4" s="1" t="s">
        <v>19</v>
      </c>
      <c r="K4" s="2" t="s">
        <v>20</v>
      </c>
      <c r="L4" s="2" t="s">
        <v>12</v>
      </c>
      <c r="M4" s="2" t="s">
        <v>216</v>
      </c>
      <c r="N4" s="7" t="s">
        <v>10</v>
      </c>
      <c r="O4" s="7" t="s">
        <v>11</v>
      </c>
    </row>
    <row r="5" spans="1:15" x14ac:dyDescent="0.25">
      <c r="A5" s="244" t="s">
        <v>591</v>
      </c>
      <c r="B5" s="244"/>
      <c r="C5" s="231" t="s">
        <v>593</v>
      </c>
      <c r="D5" s="231"/>
      <c r="E5" s="231"/>
      <c r="F5" s="231"/>
      <c r="G5" s="17"/>
      <c r="J5" s="3" t="s">
        <v>38</v>
      </c>
      <c r="K5" s="3" t="s">
        <v>93</v>
      </c>
      <c r="L5" s="3" t="str">
        <f>'Node Inventory'!A6</f>
        <v>sah</v>
      </c>
      <c r="M5" s="5" t="str">
        <f ca="1">OFFSET(NetworkInterfaces[[#Headers],[Bond0-NIC2]],1,)</f>
        <v>p2p1</v>
      </c>
      <c r="N5" s="6">
        <v>1</v>
      </c>
      <c r="O5" s="10" t="s">
        <v>3</v>
      </c>
    </row>
    <row r="6" spans="1:15" x14ac:dyDescent="0.25">
      <c r="A6" s="244" t="s">
        <v>14</v>
      </c>
      <c r="B6" s="244"/>
      <c r="C6" s="231" t="s">
        <v>571</v>
      </c>
      <c r="D6" s="231"/>
      <c r="E6" s="231"/>
      <c r="F6" s="231"/>
      <c r="G6" s="17"/>
      <c r="J6" s="3" t="s">
        <v>39</v>
      </c>
      <c r="K6" s="3" t="s">
        <v>93</v>
      </c>
      <c r="L6" s="3" t="str">
        <f>'Node Inventory'!A9</f>
        <v>controller_0</v>
      </c>
      <c r="M6" s="5" t="str">
        <f ca="1">OFFSET(NetworkInterfaces[[#Headers],[Bond0-NIC2]],2,)</f>
        <v>p2p1</v>
      </c>
      <c r="N6" s="6">
        <v>2</v>
      </c>
      <c r="O6" s="10" t="s">
        <v>3</v>
      </c>
    </row>
    <row r="7" spans="1:15" x14ac:dyDescent="0.25">
      <c r="A7" s="225" t="s">
        <v>582</v>
      </c>
      <c r="B7" s="226"/>
      <c r="C7" s="227" t="s">
        <v>584</v>
      </c>
      <c r="D7" s="228"/>
      <c r="E7" s="228"/>
      <c r="F7" s="229"/>
      <c r="G7" s="17"/>
      <c r="J7" s="3" t="s">
        <v>40</v>
      </c>
      <c r="K7" s="3" t="s">
        <v>93</v>
      </c>
      <c r="L7" s="3" t="str">
        <f>'Node Inventory'!A10</f>
        <v>controller_1</v>
      </c>
      <c r="M7" s="5" t="str">
        <f ca="1">OFFSET(NetworkInterfaces[[#Headers],[Bond0-NIC2]],2,)</f>
        <v>p2p1</v>
      </c>
      <c r="N7" s="6">
        <v>3</v>
      </c>
      <c r="O7" s="10" t="s">
        <v>3</v>
      </c>
    </row>
    <row r="8" spans="1:15" x14ac:dyDescent="0.25">
      <c r="A8" s="245" t="s">
        <v>13</v>
      </c>
      <c r="B8" s="245"/>
      <c r="C8" s="227" t="s">
        <v>720</v>
      </c>
      <c r="D8" s="228"/>
      <c r="E8" s="228"/>
      <c r="F8" s="229"/>
      <c r="G8" s="16"/>
      <c r="J8" s="3" t="s">
        <v>41</v>
      </c>
      <c r="K8" s="3" t="s">
        <v>93</v>
      </c>
      <c r="L8" s="3" t="str">
        <f>'Node Inventory'!A11</f>
        <v>controller_2</v>
      </c>
      <c r="M8" s="5" t="str">
        <f ca="1">OFFSET(NetworkInterfaces[[#Headers],[Bond0-NIC2]],2,)</f>
        <v>p2p1</v>
      </c>
      <c r="N8" s="6">
        <v>4</v>
      </c>
      <c r="O8" s="10" t="s">
        <v>3</v>
      </c>
    </row>
    <row r="9" spans="1:15" x14ac:dyDescent="0.25">
      <c r="A9" s="244" t="s">
        <v>4</v>
      </c>
      <c r="B9" s="244"/>
      <c r="C9" s="231" t="s">
        <v>676</v>
      </c>
      <c r="D9" s="231"/>
      <c r="E9" s="231"/>
      <c r="F9" s="231"/>
      <c r="G9" s="17"/>
      <c r="J9" s="3" t="s">
        <v>42</v>
      </c>
      <c r="K9" s="3" t="s">
        <v>96</v>
      </c>
      <c r="L9" s="3" t="str">
        <f>'Node Inventory'!A12</f>
        <v>compute_0</v>
      </c>
      <c r="M9" s="5" t="str">
        <f ca="1">OFFSET(NetworkInterfaces[[#Headers],[Bond0-NIC2]],3,)</f>
        <v>p2p1</v>
      </c>
      <c r="N9" s="6">
        <v>5</v>
      </c>
      <c r="O9" s="10" t="s">
        <v>3</v>
      </c>
    </row>
    <row r="10" spans="1:15" x14ac:dyDescent="0.25">
      <c r="A10" s="225" t="s">
        <v>570</v>
      </c>
      <c r="B10" s="226"/>
      <c r="C10" s="227" t="s">
        <v>722</v>
      </c>
      <c r="D10" s="228"/>
      <c r="E10" s="228"/>
      <c r="F10" s="229"/>
      <c r="G10" s="17"/>
      <c r="J10" s="3" t="s">
        <v>43</v>
      </c>
      <c r="K10" s="3" t="s">
        <v>96</v>
      </c>
      <c r="L10" s="3" t="str">
        <f>'Node Inventory'!A13</f>
        <v>compute_1</v>
      </c>
      <c r="M10" s="5" t="str">
        <f ca="1">OFFSET(NetworkInterfaces[[#Headers],[Bond0-NIC2]],3,)</f>
        <v>p2p1</v>
      </c>
      <c r="N10" s="6">
        <v>6</v>
      </c>
      <c r="O10" s="10" t="s">
        <v>3</v>
      </c>
    </row>
    <row r="11" spans="1:15" x14ac:dyDescent="0.25">
      <c r="A11" s="225" t="s">
        <v>174</v>
      </c>
      <c r="B11" s="226"/>
      <c r="C11" s="227" t="s">
        <v>260</v>
      </c>
      <c r="D11" s="228"/>
      <c r="E11" s="228"/>
      <c r="F11" s="229"/>
      <c r="G11" s="17"/>
      <c r="J11" s="3" t="s">
        <v>44</v>
      </c>
      <c r="K11" s="3" t="s">
        <v>96</v>
      </c>
      <c r="L11" s="3" t="str">
        <f>'Node Inventory'!A14</f>
        <v>compute_2</v>
      </c>
      <c r="M11" s="5" t="str">
        <f ca="1">OFFSET(NetworkInterfaces[[#Headers],[Bond0-NIC2]],3,)</f>
        <v>p2p1</v>
      </c>
      <c r="N11" s="6">
        <v>7</v>
      </c>
      <c r="O11" s="10" t="s">
        <v>3</v>
      </c>
    </row>
    <row r="12" spans="1:15" x14ac:dyDescent="0.25">
      <c r="A12" s="225" t="s">
        <v>24</v>
      </c>
      <c r="B12" s="226"/>
      <c r="C12" s="227" t="s">
        <v>228</v>
      </c>
      <c r="D12" s="228"/>
      <c r="E12" s="228"/>
      <c r="F12" s="229"/>
      <c r="G12" s="16"/>
      <c r="J12" s="3" t="s">
        <v>45</v>
      </c>
      <c r="K12" s="3" t="s">
        <v>96</v>
      </c>
      <c r="L12" s="3" t="str">
        <f>'Node Inventory'!A15</f>
        <v>storage_0</v>
      </c>
      <c r="M12" s="5" t="str">
        <f ca="1">OFFSET(NetworkInterfaces[[#Headers],[Bond0-NIC2]],3,)</f>
        <v>p2p1</v>
      </c>
      <c r="N12" s="6">
        <v>8</v>
      </c>
      <c r="O12" s="10" t="s">
        <v>3</v>
      </c>
    </row>
    <row r="13" spans="1:15" x14ac:dyDescent="0.25">
      <c r="G13" s="17"/>
      <c r="J13" s="3" t="s">
        <v>46</v>
      </c>
      <c r="K13" s="3" t="s">
        <v>96</v>
      </c>
      <c r="L13" s="3" t="str">
        <f>'Node Inventory'!A16</f>
        <v>storage_1</v>
      </c>
      <c r="M13" s="5" t="str">
        <f ca="1">OFFSET(NetworkInterfaces[[#Headers],[Bond0-NIC2]],3,)</f>
        <v>p2p1</v>
      </c>
      <c r="N13" s="6">
        <v>9</v>
      </c>
      <c r="O13" s="10" t="s">
        <v>3</v>
      </c>
    </row>
    <row r="14" spans="1:15" x14ac:dyDescent="0.25">
      <c r="A14" s="241" t="s">
        <v>32</v>
      </c>
      <c r="B14" s="241"/>
      <c r="C14" s="241"/>
      <c r="D14" s="242" t="s">
        <v>92</v>
      </c>
      <c r="E14" s="242"/>
      <c r="F14" s="242"/>
      <c r="G14" s="17"/>
      <c r="J14" s="3" t="s">
        <v>47</v>
      </c>
      <c r="K14" s="3" t="s">
        <v>96</v>
      </c>
      <c r="L14" s="3" t="str">
        <f>'Node Inventory'!A17</f>
        <v>storage_2</v>
      </c>
      <c r="M14" s="5" t="str">
        <f ca="1">OFFSET(NetworkInterfaces[[#Headers],[Bond0-NIC2]],3,)</f>
        <v>p2p1</v>
      </c>
      <c r="N14" s="6">
        <v>10</v>
      </c>
      <c r="O14" s="10" t="s">
        <v>3</v>
      </c>
    </row>
    <row r="15" spans="1:15" x14ac:dyDescent="0.25">
      <c r="A15" s="243" t="s">
        <v>15</v>
      </c>
      <c r="B15" s="243"/>
      <c r="C15" s="243"/>
      <c r="D15" s="231"/>
      <c r="E15" s="231"/>
      <c r="F15" s="231"/>
      <c r="G15" s="17"/>
      <c r="J15" s="3" t="s">
        <v>48</v>
      </c>
      <c r="K15" s="3" t="s">
        <v>96</v>
      </c>
      <c r="L15" s="3" t="str">
        <f>'Node Inventory'!A18</f>
        <v>open_0</v>
      </c>
      <c r="M15" s="5" t="str">
        <f ca="1">OFFSET(NetworkInterfaces[[#Headers],[Bond0-NIC2]],3,)</f>
        <v>p2p1</v>
      </c>
      <c r="N15" s="6">
        <v>11</v>
      </c>
      <c r="O15" s="10" t="s">
        <v>3</v>
      </c>
    </row>
    <row r="16" spans="1:15" x14ac:dyDescent="0.25">
      <c r="A16" s="230" t="s">
        <v>16</v>
      </c>
      <c r="B16" s="230"/>
      <c r="C16" s="230"/>
      <c r="D16" s="231">
        <v>16384</v>
      </c>
      <c r="E16" s="231"/>
      <c r="F16" s="231"/>
      <c r="G16" s="17"/>
      <c r="J16" s="3" t="s">
        <v>49</v>
      </c>
      <c r="K16" s="3" t="s">
        <v>96</v>
      </c>
      <c r="L16" s="3" t="str">
        <f>'Node Inventory'!A19</f>
        <v>open_0</v>
      </c>
      <c r="M16" s="5" t="str">
        <f ca="1">OFFSET(NetworkInterfaces[[#Headers],[Bond0-NIC2]],3,)</f>
        <v>p2p1</v>
      </c>
      <c r="N16" s="6">
        <v>12</v>
      </c>
      <c r="O16" s="10" t="s">
        <v>3</v>
      </c>
    </row>
    <row r="17" spans="1:15" x14ac:dyDescent="0.25">
      <c r="J17" s="3" t="s">
        <v>50</v>
      </c>
      <c r="K17" s="3" t="s">
        <v>96</v>
      </c>
      <c r="L17" s="3" t="str">
        <f>'Node Inventory'!A20</f>
        <v>open_0</v>
      </c>
      <c r="M17" s="5" t="str">
        <f ca="1">OFFSET(NetworkInterfaces[[#Headers],[Bond0-NIC2]],3,)</f>
        <v>p2p1</v>
      </c>
      <c r="N17" s="6">
        <v>13</v>
      </c>
      <c r="O17" s="10" t="s">
        <v>3</v>
      </c>
    </row>
    <row r="18" spans="1:15" x14ac:dyDescent="0.25">
      <c r="A18" s="232" t="s">
        <v>17</v>
      </c>
      <c r="B18" s="233"/>
      <c r="C18" s="234"/>
      <c r="D18" s="227"/>
      <c r="E18" s="228"/>
      <c r="F18" s="229"/>
      <c r="J18" s="3" t="s">
        <v>51</v>
      </c>
      <c r="K18" s="3" t="s">
        <v>96</v>
      </c>
      <c r="L18" s="3" t="str">
        <f>'Node Inventory'!A21</f>
        <v>open_0</v>
      </c>
      <c r="M18" s="5" t="str">
        <f ca="1">OFFSET(NetworkInterfaces[[#Headers],[Bond0-NIC2]],3,)</f>
        <v>p2p1</v>
      </c>
      <c r="N18" s="6">
        <v>14</v>
      </c>
      <c r="O18" s="10" t="s">
        <v>3</v>
      </c>
    </row>
    <row r="19" spans="1:15" x14ac:dyDescent="0.25">
      <c r="A19" s="235" t="s">
        <v>18</v>
      </c>
      <c r="B19" s="236"/>
      <c r="C19" s="237"/>
      <c r="D19" s="238">
        <v>1</v>
      </c>
      <c r="E19" s="239"/>
      <c r="F19" s="240"/>
      <c r="J19" s="3" t="s">
        <v>52</v>
      </c>
      <c r="K19" s="3" t="s">
        <v>488</v>
      </c>
      <c r="L19" s="3" t="str">
        <f>'Node Inventory'!A22</f>
        <v>open_0</v>
      </c>
      <c r="M19" s="5" t="str">
        <f ca="1">OFFSET(NetworkInterfaces[[#Headers],[Bond0-NIC2]],3,)</f>
        <v>p2p1</v>
      </c>
      <c r="N19" s="6">
        <v>15</v>
      </c>
      <c r="O19" s="10" t="s">
        <v>3</v>
      </c>
    </row>
    <row r="20" spans="1:15" x14ac:dyDescent="0.25">
      <c r="A20" s="235" t="s">
        <v>31</v>
      </c>
      <c r="B20" s="236"/>
      <c r="C20" s="237"/>
      <c r="D20" s="227">
        <v>1</v>
      </c>
      <c r="E20" s="228"/>
      <c r="F20" s="229"/>
      <c r="J20" s="3" t="s">
        <v>53</v>
      </c>
      <c r="K20" s="3" t="s">
        <v>488</v>
      </c>
      <c r="L20" s="3" t="str">
        <f>'Node Inventory'!A23</f>
        <v>open_0</v>
      </c>
      <c r="M20" s="5" t="str">
        <f ca="1">OFFSET(NetworkInterfaces[[#Headers],[Bond0-NIC2]],4,)</f>
        <v>p1p1</v>
      </c>
      <c r="N20" s="6">
        <v>16</v>
      </c>
      <c r="O20" s="10" t="s">
        <v>3</v>
      </c>
    </row>
    <row r="21" spans="1:15" x14ac:dyDescent="0.25">
      <c r="A21" s="232" t="s">
        <v>21</v>
      </c>
      <c r="B21" s="233"/>
      <c r="C21" s="234"/>
      <c r="D21" s="227">
        <v>0</v>
      </c>
      <c r="E21" s="228"/>
      <c r="F21" s="229"/>
      <c r="J21" s="3" t="s">
        <v>54</v>
      </c>
      <c r="K21" s="3" t="s">
        <v>488</v>
      </c>
      <c r="L21" s="3" t="str">
        <f>'Node Inventory'!A24</f>
        <v>open_0</v>
      </c>
      <c r="M21" s="5" t="str">
        <f ca="1">OFFSET(NetworkInterfaces[[#Headers],[Bond0-NIC2]],4,)</f>
        <v>p1p1</v>
      </c>
      <c r="N21" s="6">
        <v>17</v>
      </c>
      <c r="O21" s="10" t="s">
        <v>3</v>
      </c>
    </row>
    <row r="22" spans="1:15" x14ac:dyDescent="0.25">
      <c r="J22" s="3" t="s">
        <v>55</v>
      </c>
      <c r="K22" s="3" t="s">
        <v>488</v>
      </c>
      <c r="L22" s="3" t="str">
        <f>'Node Inventory'!A25</f>
        <v>open_0</v>
      </c>
      <c r="M22" s="5" t="str">
        <f ca="1">OFFSET(NetworkInterfaces[[#Headers],[Bond0-NIC2]],4,)</f>
        <v>p1p1</v>
      </c>
      <c r="N22" s="6">
        <v>18</v>
      </c>
      <c r="O22" s="10" t="s">
        <v>3</v>
      </c>
    </row>
    <row r="23" spans="1:15" x14ac:dyDescent="0.25">
      <c r="A23" s="252" t="s">
        <v>23</v>
      </c>
      <c r="B23" s="253"/>
      <c r="C23" s="253"/>
      <c r="D23" s="253"/>
      <c r="E23" s="253"/>
      <c r="F23" s="254"/>
      <c r="J23" s="3" t="s">
        <v>56</v>
      </c>
      <c r="K23" s="3" t="s">
        <v>488</v>
      </c>
      <c r="L23" s="3" t="str">
        <f>'Node Inventory'!A26</f>
        <v>open_0</v>
      </c>
      <c r="M23" s="5" t="str">
        <f ca="1">OFFSET(NetworkInterfaces[[#Headers],[Bond0-NIC2]],4,)</f>
        <v>p1p1</v>
      </c>
      <c r="N23" s="6">
        <v>19</v>
      </c>
      <c r="O23" s="10" t="s">
        <v>3</v>
      </c>
    </row>
    <row r="24" spans="1:15" x14ac:dyDescent="0.25">
      <c r="A24" s="246"/>
      <c r="B24" s="247"/>
      <c r="C24" s="247"/>
      <c r="D24" s="247"/>
      <c r="E24" s="247"/>
      <c r="F24" s="248"/>
      <c r="J24" s="3" t="s">
        <v>57</v>
      </c>
      <c r="K24" s="3" t="s">
        <v>488</v>
      </c>
      <c r="L24" s="3" t="str">
        <f>'Node Inventory'!A27</f>
        <v>open_0</v>
      </c>
      <c r="M24" s="5" t="str">
        <f ca="1">OFFSET(NetworkInterfaces[[#Headers],[Bond0-NIC2]],4,)</f>
        <v>p1p1</v>
      </c>
      <c r="N24" s="6">
        <v>20</v>
      </c>
      <c r="O24" s="10" t="s">
        <v>3</v>
      </c>
    </row>
    <row r="25" spans="1:15" ht="15" customHeight="1" x14ac:dyDescent="0.25">
      <c r="A25" s="249"/>
      <c r="B25" s="250"/>
      <c r="C25" s="250"/>
      <c r="D25" s="250"/>
      <c r="E25" s="250"/>
      <c r="F25" s="251"/>
      <c r="J25" s="3" t="s">
        <v>58</v>
      </c>
      <c r="K25" s="3" t="s">
        <v>488</v>
      </c>
      <c r="L25" s="3" t="str">
        <f>'Node Inventory'!A28</f>
        <v>open_0</v>
      </c>
      <c r="M25" s="5" t="str">
        <f ca="1">OFFSET(NetworkInterfaces[[#Headers],[Bond0-NIC2]],4,)</f>
        <v>p1p1</v>
      </c>
      <c r="N25" s="6">
        <v>21</v>
      </c>
      <c r="O25" s="10" t="s">
        <v>3</v>
      </c>
    </row>
    <row r="26" spans="1:15" x14ac:dyDescent="0.25">
      <c r="A26" s="246"/>
      <c r="B26" s="247"/>
      <c r="C26" s="247"/>
      <c r="D26" s="247"/>
      <c r="E26" s="247"/>
      <c r="F26" s="248"/>
      <c r="J26" s="3" t="s">
        <v>59</v>
      </c>
      <c r="K26" s="3" t="s">
        <v>1</v>
      </c>
      <c r="L26" s="5"/>
      <c r="M26" s="5"/>
      <c r="N26" s="10">
        <v>22</v>
      </c>
      <c r="O26" s="5"/>
    </row>
    <row r="27" spans="1:15" x14ac:dyDescent="0.25">
      <c r="A27" s="249"/>
      <c r="B27" s="250"/>
      <c r="C27" s="250"/>
      <c r="D27" s="250"/>
      <c r="E27" s="250"/>
      <c r="F27" s="251"/>
      <c r="J27" s="3" t="s">
        <v>60</v>
      </c>
      <c r="K27" s="3" t="s">
        <v>1</v>
      </c>
      <c r="L27" s="5"/>
      <c r="M27" s="5"/>
      <c r="N27" s="10">
        <v>23</v>
      </c>
      <c r="O27" s="10"/>
    </row>
    <row r="28" spans="1:15" x14ac:dyDescent="0.25">
      <c r="J28" s="3" t="s">
        <v>61</v>
      </c>
      <c r="K28" s="126" t="s">
        <v>93</v>
      </c>
      <c r="L28" s="5" t="str">
        <f>'Node Inventory'!A6</f>
        <v>sah</v>
      </c>
      <c r="M28" s="5" t="str">
        <f ca="1">OFFSET(NetworkInterfaces[[#Headers],[Bond1-NIC2]],1,)</f>
        <v>p2p2</v>
      </c>
      <c r="N28" s="5">
        <v>24</v>
      </c>
      <c r="O28" s="10" t="s">
        <v>3</v>
      </c>
    </row>
    <row r="29" spans="1:15" x14ac:dyDescent="0.25">
      <c r="J29" s="3" t="s">
        <v>62</v>
      </c>
      <c r="K29" s="126" t="s">
        <v>93</v>
      </c>
      <c r="L29" s="5" t="str">
        <f>'Node Inventory'!A9</f>
        <v>controller_0</v>
      </c>
      <c r="M29" s="5" t="str">
        <f ca="1">OFFSET(NetworkInterfaces[[#Headers],[Bond1-NIC2]],2,)</f>
        <v>p2p2</v>
      </c>
      <c r="N29" s="10">
        <v>25</v>
      </c>
      <c r="O29" s="10" t="s">
        <v>3</v>
      </c>
    </row>
    <row r="30" spans="1:15" x14ac:dyDescent="0.25">
      <c r="J30" s="3" t="s">
        <v>63</v>
      </c>
      <c r="K30" s="126" t="s">
        <v>93</v>
      </c>
      <c r="L30" s="5" t="str">
        <f>'Node Inventory'!A10</f>
        <v>controller_1</v>
      </c>
      <c r="M30" s="5" t="str">
        <f ca="1">OFFSET(NetworkInterfaces[[#Headers],[Bond1-NIC2]],2,)</f>
        <v>p2p2</v>
      </c>
      <c r="N30" s="10">
        <v>26</v>
      </c>
      <c r="O30" s="10" t="s">
        <v>3</v>
      </c>
    </row>
    <row r="31" spans="1:15" x14ac:dyDescent="0.25">
      <c r="J31" s="3" t="s">
        <v>64</v>
      </c>
      <c r="K31" s="126" t="s">
        <v>93</v>
      </c>
      <c r="L31" s="5" t="str">
        <f>'Node Inventory'!A11</f>
        <v>controller_2</v>
      </c>
      <c r="M31" s="5" t="str">
        <f ca="1">OFFSET(NetworkInterfaces[[#Headers],[Bond1-NIC2]],2,)</f>
        <v>p2p2</v>
      </c>
      <c r="N31" s="10">
        <v>27</v>
      </c>
      <c r="O31" s="10" t="s">
        <v>3</v>
      </c>
    </row>
    <row r="32" spans="1:15" x14ac:dyDescent="0.25">
      <c r="J32" s="3" t="s">
        <v>65</v>
      </c>
      <c r="K32" s="126" t="s">
        <v>96</v>
      </c>
      <c r="L32" s="5" t="str">
        <f>'Node Inventory'!A12</f>
        <v>compute_0</v>
      </c>
      <c r="M32" s="5" t="str">
        <f ca="1">OFFSET(NetworkInterfaces[[#Headers],[Bond1-NIC2]],3,)</f>
        <v>p2p2</v>
      </c>
      <c r="N32" s="10">
        <v>28</v>
      </c>
      <c r="O32" s="10" t="s">
        <v>3</v>
      </c>
    </row>
    <row r="33" spans="10:15" x14ac:dyDescent="0.25">
      <c r="J33" s="3" t="s">
        <v>66</v>
      </c>
      <c r="K33" s="126" t="s">
        <v>96</v>
      </c>
      <c r="L33" s="5" t="str">
        <f>'Node Inventory'!A13</f>
        <v>compute_1</v>
      </c>
      <c r="M33" s="5" t="str">
        <f ca="1">OFFSET(NetworkInterfaces[[#Headers],[Bond1-NIC2]],3,)</f>
        <v>p2p2</v>
      </c>
      <c r="N33" s="10">
        <v>29</v>
      </c>
      <c r="O33" s="10" t="s">
        <v>3</v>
      </c>
    </row>
    <row r="34" spans="10:15" x14ac:dyDescent="0.25">
      <c r="J34" s="3" t="s">
        <v>67</v>
      </c>
      <c r="K34" s="126" t="s">
        <v>96</v>
      </c>
      <c r="L34" s="5" t="str">
        <f>'Node Inventory'!A14</f>
        <v>compute_2</v>
      </c>
      <c r="M34" s="5" t="str">
        <f ca="1">OFFSET(NetworkInterfaces[[#Headers],[Bond1-NIC2]],3,)</f>
        <v>p2p2</v>
      </c>
      <c r="N34" s="10">
        <v>30</v>
      </c>
      <c r="O34" s="10" t="s">
        <v>3</v>
      </c>
    </row>
    <row r="35" spans="10:15" x14ac:dyDescent="0.25">
      <c r="J35" s="3" t="s">
        <v>68</v>
      </c>
      <c r="K35" s="126" t="s">
        <v>96</v>
      </c>
      <c r="L35" s="5" t="str">
        <f>'Node Inventory'!A15</f>
        <v>storage_0</v>
      </c>
      <c r="M35" s="5" t="str">
        <f ca="1">OFFSET(NetworkInterfaces[[#Headers],[Bond1-NIC2]],3,)</f>
        <v>p2p2</v>
      </c>
      <c r="N35" s="10">
        <v>31</v>
      </c>
      <c r="O35" s="10" t="s">
        <v>3</v>
      </c>
    </row>
    <row r="36" spans="10:15" ht="15" customHeight="1" x14ac:dyDescent="0.25">
      <c r="J36" s="3" t="s">
        <v>69</v>
      </c>
      <c r="K36" s="126" t="s">
        <v>96</v>
      </c>
      <c r="L36" s="5" t="str">
        <f>'Node Inventory'!A16</f>
        <v>storage_1</v>
      </c>
      <c r="M36" s="5" t="str">
        <f ca="1">OFFSET(NetworkInterfaces[[#Headers],[Bond1-NIC2]],3,)</f>
        <v>p2p2</v>
      </c>
      <c r="N36" s="10">
        <v>32</v>
      </c>
      <c r="O36" s="10" t="s">
        <v>3</v>
      </c>
    </row>
    <row r="37" spans="10:15" x14ac:dyDescent="0.25">
      <c r="J37" s="3" t="s">
        <v>70</v>
      </c>
      <c r="K37" s="126" t="s">
        <v>96</v>
      </c>
      <c r="L37" s="5" t="str">
        <f>'Node Inventory'!A17</f>
        <v>storage_2</v>
      </c>
      <c r="M37" s="5" t="str">
        <f ca="1">OFFSET(NetworkInterfaces[[#Headers],[Bond1-NIC2]],3,)</f>
        <v>p2p2</v>
      </c>
      <c r="N37" s="10">
        <v>33</v>
      </c>
      <c r="O37" s="10" t="s">
        <v>3</v>
      </c>
    </row>
    <row r="38" spans="10:15" x14ac:dyDescent="0.25">
      <c r="J38" s="3" t="s">
        <v>71</v>
      </c>
      <c r="K38" s="126" t="s">
        <v>96</v>
      </c>
      <c r="L38" s="5" t="str">
        <f>'Node Inventory'!A18</f>
        <v>open_0</v>
      </c>
      <c r="M38" s="5" t="str">
        <f ca="1">OFFSET(NetworkInterfaces[[#Headers],[Bond1-NIC2]],3,)</f>
        <v>p2p2</v>
      </c>
      <c r="N38" s="10">
        <v>34</v>
      </c>
      <c r="O38" s="10" t="s">
        <v>3</v>
      </c>
    </row>
    <row r="39" spans="10:15" x14ac:dyDescent="0.25">
      <c r="J39" s="3" t="s">
        <v>72</v>
      </c>
      <c r="K39" s="126" t="s">
        <v>96</v>
      </c>
      <c r="L39" s="5" t="str">
        <f>'Node Inventory'!A19</f>
        <v>open_0</v>
      </c>
      <c r="M39" s="5" t="str">
        <f ca="1">OFFSET(NetworkInterfaces[[#Headers],[Bond1-NIC2]],3,)</f>
        <v>p2p2</v>
      </c>
      <c r="N39" s="10">
        <v>35</v>
      </c>
      <c r="O39" s="10" t="s">
        <v>3</v>
      </c>
    </row>
    <row r="40" spans="10:15" x14ac:dyDescent="0.25">
      <c r="J40" s="3" t="s">
        <v>73</v>
      </c>
      <c r="K40" s="126" t="s">
        <v>96</v>
      </c>
      <c r="L40" s="5" t="str">
        <f>'Node Inventory'!A20</f>
        <v>open_0</v>
      </c>
      <c r="M40" s="5" t="str">
        <f ca="1">OFFSET(NetworkInterfaces[[#Headers],[Bond1-NIC2]],3,)</f>
        <v>p2p2</v>
      </c>
      <c r="N40" s="10">
        <v>36</v>
      </c>
      <c r="O40" s="10" t="s">
        <v>3</v>
      </c>
    </row>
    <row r="41" spans="10:15" x14ac:dyDescent="0.25">
      <c r="J41" s="3" t="s">
        <v>74</v>
      </c>
      <c r="K41" s="126" t="s">
        <v>96</v>
      </c>
      <c r="L41" s="5" t="str">
        <f>'Node Inventory'!A21</f>
        <v>open_0</v>
      </c>
      <c r="M41" s="5" t="str">
        <f ca="1">OFFSET(NetworkInterfaces[[#Headers],[Bond1-NIC2]],3,)</f>
        <v>p2p2</v>
      </c>
      <c r="N41" s="10">
        <v>37</v>
      </c>
      <c r="O41" s="10" t="s">
        <v>3</v>
      </c>
    </row>
    <row r="42" spans="10:15" x14ac:dyDescent="0.25">
      <c r="J42" s="3" t="s">
        <v>75</v>
      </c>
      <c r="K42" s="126" t="s">
        <v>488</v>
      </c>
      <c r="L42" s="5" t="str">
        <f>'Node Inventory'!A22</f>
        <v>open_0</v>
      </c>
      <c r="M42" s="5" t="str">
        <f ca="1">OFFSET(NetworkInterfaces[[#Headers],[Bond1-NIC2]],3,)</f>
        <v>p2p2</v>
      </c>
      <c r="N42" s="10">
        <v>38</v>
      </c>
      <c r="O42" s="10" t="s">
        <v>3</v>
      </c>
    </row>
    <row r="43" spans="10:15" x14ac:dyDescent="0.25">
      <c r="J43" s="3" t="s">
        <v>76</v>
      </c>
      <c r="K43" s="126" t="s">
        <v>488</v>
      </c>
      <c r="L43" s="5" t="str">
        <f>'Node Inventory'!A23</f>
        <v>open_0</v>
      </c>
      <c r="M43" s="5" t="str">
        <f ca="1">OFFSET(NetworkInterfaces[[#Headers],[Bond1-NIC2]],4,)</f>
        <v>p1p2</v>
      </c>
      <c r="N43" s="10">
        <v>39</v>
      </c>
      <c r="O43" s="10" t="s">
        <v>3</v>
      </c>
    </row>
    <row r="44" spans="10:15" x14ac:dyDescent="0.25">
      <c r="J44" s="3" t="s">
        <v>77</v>
      </c>
      <c r="K44" s="126" t="s">
        <v>488</v>
      </c>
      <c r="L44" s="5" t="str">
        <f>'Node Inventory'!A24</f>
        <v>open_0</v>
      </c>
      <c r="M44" s="5" t="str">
        <f ca="1">OFFSET(NetworkInterfaces[[#Headers],[Bond1-NIC2]],4,)</f>
        <v>p1p2</v>
      </c>
      <c r="N44" s="10">
        <v>40</v>
      </c>
      <c r="O44" s="10" t="s">
        <v>3</v>
      </c>
    </row>
    <row r="45" spans="10:15" x14ac:dyDescent="0.25">
      <c r="J45" s="3" t="s">
        <v>78</v>
      </c>
      <c r="K45" s="126" t="s">
        <v>488</v>
      </c>
      <c r="L45" s="5" t="str">
        <f>'Node Inventory'!A25</f>
        <v>open_0</v>
      </c>
      <c r="M45" s="5" t="str">
        <f ca="1">OFFSET(NetworkInterfaces[[#Headers],[Bond1-NIC2]],4,)</f>
        <v>p1p2</v>
      </c>
      <c r="N45" s="10">
        <v>41</v>
      </c>
      <c r="O45" s="10" t="s">
        <v>3</v>
      </c>
    </row>
    <row r="46" spans="10:15" x14ac:dyDescent="0.25">
      <c r="J46" s="3" t="s">
        <v>79</v>
      </c>
      <c r="K46" s="126" t="s">
        <v>488</v>
      </c>
      <c r="L46" s="5" t="str">
        <f>'Node Inventory'!A26</f>
        <v>open_0</v>
      </c>
      <c r="M46" s="5" t="str">
        <f ca="1">OFFSET(NetworkInterfaces[[#Headers],[Bond1-NIC2]],4,)</f>
        <v>p1p2</v>
      </c>
      <c r="N46" s="10">
        <v>42</v>
      </c>
      <c r="O46" s="10" t="s">
        <v>3</v>
      </c>
    </row>
    <row r="47" spans="10:15" x14ac:dyDescent="0.25">
      <c r="J47" s="3" t="s">
        <v>80</v>
      </c>
      <c r="K47" s="3" t="s">
        <v>488</v>
      </c>
      <c r="L47" s="5" t="str">
        <f>'Node Inventory'!A27</f>
        <v>open_0</v>
      </c>
      <c r="M47" s="5" t="str">
        <f ca="1">OFFSET(NetworkInterfaces[[#Headers],[Bond1-NIC2]],4,)</f>
        <v>p1p2</v>
      </c>
      <c r="N47" s="10">
        <v>43</v>
      </c>
      <c r="O47" s="10" t="s">
        <v>3</v>
      </c>
    </row>
    <row r="48" spans="10:15" x14ac:dyDescent="0.25">
      <c r="J48" s="3" t="s">
        <v>81</v>
      </c>
      <c r="K48" s="3" t="s">
        <v>488</v>
      </c>
      <c r="L48" s="5" t="str">
        <f>'Node Inventory'!A28</f>
        <v>open_0</v>
      </c>
      <c r="M48" s="5" t="str">
        <f ca="1">OFFSET(NetworkInterfaces[[#Headers],[Bond1-NIC2]],4,)</f>
        <v>p1p2</v>
      </c>
      <c r="N48" s="10">
        <v>44</v>
      </c>
      <c r="O48" s="10" t="s">
        <v>3</v>
      </c>
    </row>
    <row r="49" spans="10:15" x14ac:dyDescent="0.25">
      <c r="J49" s="3" t="s">
        <v>82</v>
      </c>
      <c r="K49" s="3" t="s">
        <v>1</v>
      </c>
      <c r="L49" s="11"/>
      <c r="M49" s="11"/>
      <c r="N49" s="6" t="s">
        <v>2</v>
      </c>
      <c r="O49" s="6" t="s">
        <v>2</v>
      </c>
    </row>
    <row r="50" spans="10:15" x14ac:dyDescent="0.25">
      <c r="J50" s="3" t="s">
        <v>83</v>
      </c>
      <c r="K50" s="3" t="s">
        <v>1</v>
      </c>
      <c r="L50" s="5"/>
      <c r="M50" s="11"/>
      <c r="N50" s="10"/>
      <c r="O50" s="10"/>
    </row>
    <row r="51" spans="10:15" x14ac:dyDescent="0.25">
      <c r="J51" s="3" t="s">
        <v>84</v>
      </c>
      <c r="K51" s="3" t="s">
        <v>1</v>
      </c>
      <c r="L51" s="5"/>
      <c r="M51" s="9"/>
      <c r="N51" s="6"/>
      <c r="O51" s="10"/>
    </row>
    <row r="52" spans="10:15" x14ac:dyDescent="0.25">
      <c r="J52" s="3" t="s">
        <v>85</v>
      </c>
      <c r="K52" s="3" t="s">
        <v>93</v>
      </c>
      <c r="L52" s="5" t="s">
        <v>98</v>
      </c>
      <c r="M52" s="3" t="s">
        <v>167</v>
      </c>
      <c r="N52" s="6">
        <v>48</v>
      </c>
      <c r="O52" s="6" t="s">
        <v>3</v>
      </c>
    </row>
    <row r="53" spans="10:15" x14ac:dyDescent="0.25">
      <c r="J53" s="9" t="s">
        <v>86</v>
      </c>
      <c r="K53" s="20" t="s">
        <v>94</v>
      </c>
      <c r="L53" s="5" t="s">
        <v>97</v>
      </c>
      <c r="M53" s="9" t="s">
        <v>86</v>
      </c>
      <c r="N53" s="6">
        <v>100</v>
      </c>
      <c r="O53" s="10" t="s">
        <v>100</v>
      </c>
    </row>
    <row r="54" spans="10:15" x14ac:dyDescent="0.25">
      <c r="J54" s="9" t="s">
        <v>87</v>
      </c>
      <c r="K54" s="20" t="s">
        <v>94</v>
      </c>
      <c r="L54" s="5" t="s">
        <v>97</v>
      </c>
      <c r="M54" s="9" t="s">
        <v>87</v>
      </c>
      <c r="N54" s="6">
        <v>100</v>
      </c>
      <c r="O54" s="10" t="s">
        <v>100</v>
      </c>
    </row>
    <row r="55" spans="10:15" x14ac:dyDescent="0.25">
      <c r="J55" s="9" t="s">
        <v>88</v>
      </c>
      <c r="K55" s="3" t="s">
        <v>163</v>
      </c>
      <c r="L55" s="5" t="s">
        <v>168</v>
      </c>
      <c r="M55" s="9" t="s">
        <v>164</v>
      </c>
      <c r="N55" s="6">
        <v>51</v>
      </c>
      <c r="O55" s="10" t="s">
        <v>3</v>
      </c>
    </row>
    <row r="56" spans="10:15" x14ac:dyDescent="0.25">
      <c r="J56" s="9" t="s">
        <v>22</v>
      </c>
      <c r="K56" s="3" t="s">
        <v>1</v>
      </c>
      <c r="L56" s="5"/>
      <c r="M56" s="9"/>
      <c r="N56" s="6" t="s">
        <v>2</v>
      </c>
      <c r="O56" s="6" t="s">
        <v>2</v>
      </c>
    </row>
    <row r="57" spans="10:15" x14ac:dyDescent="0.25">
      <c r="J57" s="9" t="s">
        <v>89</v>
      </c>
      <c r="K57" s="3" t="s">
        <v>1</v>
      </c>
      <c r="L57" s="4"/>
      <c r="M57" s="4"/>
      <c r="N57" s="6" t="s">
        <v>2</v>
      </c>
      <c r="O57" s="6" t="s">
        <v>2</v>
      </c>
    </row>
    <row r="58" spans="10:15" x14ac:dyDescent="0.25">
      <c r="J58" s="9" t="s">
        <v>90</v>
      </c>
      <c r="K58" s="3" t="s">
        <v>1</v>
      </c>
      <c r="L58" s="13"/>
      <c r="M58" s="13"/>
      <c r="N58" s="13"/>
      <c r="O58" s="13"/>
    </row>
    <row r="59" spans="10:15" x14ac:dyDescent="0.25">
      <c r="J59" s="9" t="s">
        <v>161</v>
      </c>
      <c r="K59" s="20" t="s">
        <v>95</v>
      </c>
      <c r="L59" s="13" t="s">
        <v>169</v>
      </c>
      <c r="M59" s="5" t="s">
        <v>149</v>
      </c>
      <c r="N59" s="14"/>
      <c r="O59" s="14"/>
    </row>
    <row r="66" spans="10:12" x14ac:dyDescent="0.25">
      <c r="J66" s="22"/>
      <c r="K66" s="22"/>
      <c r="L66" s="22"/>
    </row>
    <row r="67" spans="10:12" x14ac:dyDescent="0.25">
      <c r="J67" s="22"/>
      <c r="K67" s="22"/>
      <c r="L67" s="22"/>
    </row>
    <row r="68" spans="10:12" x14ac:dyDescent="0.25">
      <c r="J68" s="22"/>
      <c r="K68" s="22"/>
      <c r="L68" s="22"/>
    </row>
    <row r="69" spans="10:12" x14ac:dyDescent="0.25">
      <c r="J69" s="22"/>
      <c r="K69" s="22"/>
      <c r="L69" s="22"/>
    </row>
    <row r="70" spans="10:12" x14ac:dyDescent="0.25">
      <c r="J70" s="22"/>
      <c r="K70" s="22"/>
      <c r="L70" s="22"/>
    </row>
    <row r="71" spans="10:12" x14ac:dyDescent="0.25">
      <c r="J71" s="22"/>
      <c r="K71" s="22"/>
      <c r="L71" s="22"/>
    </row>
    <row r="72" spans="10:12" x14ac:dyDescent="0.25">
      <c r="J72" s="22"/>
      <c r="K72" s="22"/>
      <c r="L72" s="22"/>
    </row>
    <row r="73" spans="10:12" x14ac:dyDescent="0.25">
      <c r="J73" s="22"/>
      <c r="K73" s="22"/>
      <c r="L73" s="22"/>
    </row>
    <row r="74" spans="10:12" x14ac:dyDescent="0.25">
      <c r="J74" s="22"/>
      <c r="K74" s="22"/>
      <c r="L74" s="22"/>
    </row>
    <row r="75" spans="10:12" x14ac:dyDescent="0.25">
      <c r="J75" s="22"/>
      <c r="K75" s="22"/>
      <c r="L75" s="22"/>
    </row>
    <row r="76" spans="10:12" x14ac:dyDescent="0.25">
      <c r="J76" s="22"/>
      <c r="K76" s="22"/>
      <c r="L76" s="22"/>
    </row>
    <row r="77" spans="10:12" x14ac:dyDescent="0.25">
      <c r="J77" s="22"/>
      <c r="K77" s="22"/>
      <c r="L77" s="22"/>
    </row>
    <row r="78" spans="10:12" x14ac:dyDescent="0.25">
      <c r="J78" s="22"/>
      <c r="K78" s="22"/>
      <c r="L78" s="22"/>
    </row>
    <row r="79" spans="10:12" x14ac:dyDescent="0.25">
      <c r="J79" s="22"/>
      <c r="K79" s="22"/>
      <c r="L79" s="22"/>
    </row>
    <row r="80" spans="10:12" x14ac:dyDescent="0.25">
      <c r="J80" s="22"/>
      <c r="K80" s="22"/>
      <c r="L80" s="22"/>
    </row>
    <row r="81" spans="10:12" x14ac:dyDescent="0.25">
      <c r="J81" s="22"/>
      <c r="K81" s="22"/>
      <c r="L81" s="22"/>
    </row>
    <row r="82" spans="10:12" x14ac:dyDescent="0.25">
      <c r="J82" s="22"/>
      <c r="K82" s="22"/>
      <c r="L82" s="22"/>
    </row>
    <row r="83" spans="10:12" x14ac:dyDescent="0.25">
      <c r="J83" s="22"/>
      <c r="K83" s="22"/>
      <c r="L83" s="22"/>
    </row>
    <row r="84" spans="10:12" x14ac:dyDescent="0.25">
      <c r="J84" s="22"/>
      <c r="K84" s="22"/>
      <c r="L84" s="22"/>
    </row>
    <row r="85" spans="10:12" x14ac:dyDescent="0.25">
      <c r="J85" s="22"/>
      <c r="K85" s="22"/>
      <c r="L85" s="22"/>
    </row>
    <row r="86" spans="10:12" x14ac:dyDescent="0.25">
      <c r="J86" s="22"/>
      <c r="K86" s="22"/>
      <c r="L86" s="22"/>
    </row>
    <row r="87" spans="10:12" x14ac:dyDescent="0.25">
      <c r="J87" s="22"/>
      <c r="K87" s="22"/>
      <c r="L87" s="22"/>
    </row>
    <row r="88" spans="10:12" x14ac:dyDescent="0.25">
      <c r="J88" s="22"/>
      <c r="K88" s="22"/>
      <c r="L88" s="22"/>
    </row>
  </sheetData>
  <mergeCells count="35">
    <mergeCell ref="A5:B5"/>
    <mergeCell ref="C5:F5"/>
    <mergeCell ref="A14:C14"/>
    <mergeCell ref="D14:F14"/>
    <mergeCell ref="A15:C15"/>
    <mergeCell ref="D15:F15"/>
    <mergeCell ref="A7:B7"/>
    <mergeCell ref="C7:F7"/>
    <mergeCell ref="A16:C16"/>
    <mergeCell ref="D16:F16"/>
    <mergeCell ref="A18:C18"/>
    <mergeCell ref="D18:F18"/>
    <mergeCell ref="A19:C19"/>
    <mergeCell ref="D19:F19"/>
    <mergeCell ref="A24:F24"/>
    <mergeCell ref="A25:F25"/>
    <mergeCell ref="A26:F26"/>
    <mergeCell ref="A27:F27"/>
    <mergeCell ref="A20:C20"/>
    <mergeCell ref="D20:F20"/>
    <mergeCell ref="A21:C21"/>
    <mergeCell ref="D21:F21"/>
    <mergeCell ref="A23:F23"/>
    <mergeCell ref="A6:B6"/>
    <mergeCell ref="C6:F6"/>
    <mergeCell ref="A8:B8"/>
    <mergeCell ref="C8:F8"/>
    <mergeCell ref="A9:B9"/>
    <mergeCell ref="C9:F9"/>
    <mergeCell ref="A10:B10"/>
    <mergeCell ref="C10:F10"/>
    <mergeCell ref="A11:B11"/>
    <mergeCell ref="C11:F11"/>
    <mergeCell ref="A12:B12"/>
    <mergeCell ref="C12:F12"/>
  </mergeCells>
  <conditionalFormatting sqref="K53:K54">
    <cfRule type="expression" dxfId="1" priority="2" stopIfTrue="1">
      <formula>J53=""</formula>
    </cfRule>
  </conditionalFormatting>
  <conditionalFormatting sqref="K59">
    <cfRule type="expression" dxfId="0" priority="1" stopIfTrue="1">
      <formula>J59=""</formula>
    </cfRule>
  </conditionalFormatting>
  <dataValidations disablePrompts="1" count="1">
    <dataValidation type="list" allowBlank="1" showInputMessage="1" showErrorMessage="1" sqref="K53:K54 K59" xr:uid="{00000000-0002-0000-0500-000000000000}">
      <formula1>IF(ISERROR(VLOOKUP(L551,M551:M$575,3,FALSE)),"",INDIRECT(VLOOKUP(L551,M551:M$575,3,FALSE)))</formula1>
    </dataValidation>
  </dataValidations>
  <pageMargins left="0.7" right="0.7" top="0.75" bottom="0.75" header="0.3" footer="0.3"/>
  <pageSetup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Z599"/>
  <sheetViews>
    <sheetView tabSelected="1" topLeftCell="A225" zoomScale="80" zoomScaleNormal="80" workbookViewId="0">
      <selection activeCell="B526" sqref="B526"/>
    </sheetView>
  </sheetViews>
  <sheetFormatPr defaultRowHeight="15" x14ac:dyDescent="0.25"/>
  <cols>
    <col min="1" max="1" width="45.140625" bestFit="1" customWidth="1"/>
    <col min="2" max="2" width="90.7109375" style="12" customWidth="1"/>
    <col min="4" max="4" width="9" customWidth="1"/>
  </cols>
  <sheetData>
    <row r="1" spans="1:2" x14ac:dyDescent="0.25">
      <c r="A1" s="255" t="s">
        <v>373</v>
      </c>
      <c r="B1" s="256" t="s">
        <v>301</v>
      </c>
    </row>
    <row r="2" spans="1:2" ht="6.75" customHeight="1" x14ac:dyDescent="0.25">
      <c r="A2" s="257"/>
      <c r="B2" s="257"/>
    </row>
    <row r="3" spans="1:2" x14ac:dyDescent="0.25">
      <c r="A3" s="27" t="s">
        <v>506</v>
      </c>
      <c r="B3" s="74" t="str">
        <f>sah_hostname</f>
        <v>sah</v>
      </c>
    </row>
    <row r="4" spans="1:2" x14ac:dyDescent="0.25">
      <c r="A4" s="27" t="s">
        <v>364</v>
      </c>
      <c r="B4" s="74" t="str">
        <f>sah_host_service_tag</f>
        <v>54RSHK2</v>
      </c>
    </row>
    <row r="5" spans="1:2" x14ac:dyDescent="0.25">
      <c r="A5" s="27" t="s">
        <v>365</v>
      </c>
      <c r="B5" s="74" t="str">
        <f>sah_idrac_ip</f>
        <v>192.168.110.9</v>
      </c>
    </row>
    <row r="6" spans="1:2" x14ac:dyDescent="0.25">
      <c r="A6" s="27" t="s">
        <v>507</v>
      </c>
      <c r="B6" s="74" t="str">
        <f>sah_root_password</f>
        <v>pass1234</v>
      </c>
    </row>
    <row r="7" spans="1:2" x14ac:dyDescent="0.25">
      <c r="A7" s="27" t="s">
        <v>508</v>
      </c>
      <c r="B7" s="74" t="str">
        <f>anaconda_ip</f>
        <v>100.100.10.145</v>
      </c>
    </row>
    <row r="8" spans="1:2" x14ac:dyDescent="0.25">
      <c r="A8" s="27" t="s">
        <v>509</v>
      </c>
      <c r="B8" s="74" t="str">
        <f>sah_anaconda_iface</f>
        <v>em4</v>
      </c>
    </row>
    <row r="9" spans="1:2" x14ac:dyDescent="0.25">
      <c r="A9" s="27" t="s">
        <v>366</v>
      </c>
      <c r="B9" s="74" t="str">
        <f>sah_public_ip</f>
        <v>100.100.10.139</v>
      </c>
    </row>
    <row r="10" spans="1:2" x14ac:dyDescent="0.25">
      <c r="A10" s="27" t="s">
        <v>520</v>
      </c>
      <c r="B10" s="74" t="str">
        <f>sah_public_ip</f>
        <v>100.100.10.139</v>
      </c>
    </row>
    <row r="11" spans="1:2" x14ac:dyDescent="0.25">
      <c r="A11" s="27" t="s">
        <v>514</v>
      </c>
      <c r="B11" s="74" t="str">
        <f>sah_public_bond</f>
        <v>bond1</v>
      </c>
    </row>
    <row r="12" spans="1:2" x14ac:dyDescent="0.25">
      <c r="A12" s="27" t="s">
        <v>515</v>
      </c>
      <c r="B12" s="74" t="str">
        <f>_xlfn.CONCAT(sah_bond1_iface1, " ", sah_bond1_iface2)</f>
        <v>em2 p2p2</v>
      </c>
    </row>
    <row r="13" spans="1:2" x14ac:dyDescent="0.25">
      <c r="A13" s="27" t="s">
        <v>522</v>
      </c>
      <c r="B13" s="74" t="str">
        <f>sah_private_bond</f>
        <v>bond0</v>
      </c>
    </row>
    <row r="14" spans="1:2" x14ac:dyDescent="0.25">
      <c r="A14" s="27" t="s">
        <v>521</v>
      </c>
      <c r="B14" s="74" t="str">
        <f>_xlfn.CONCAT(sah_bond0_iface1, " ", sah_bond0_iface2)</f>
        <v>em1 p2p1</v>
      </c>
    </row>
    <row r="15" spans="1:2" x14ac:dyDescent="0.25">
      <c r="A15" s="27" t="s">
        <v>367</v>
      </c>
      <c r="B15" s="74" t="str">
        <f>sah_provision_ip</f>
        <v>192.168.120.9</v>
      </c>
    </row>
    <row r="16" spans="1:2" x14ac:dyDescent="0.25">
      <c r="A16" s="27" t="s">
        <v>524</v>
      </c>
      <c r="B16" s="74" t="str">
        <f>sah_storage_ip</f>
        <v>192.168.170.9</v>
      </c>
    </row>
    <row r="17" spans="1:2" x14ac:dyDescent="0.25">
      <c r="A17" s="27" t="s">
        <v>525</v>
      </c>
      <c r="B17" s="74" t="str">
        <f>sah_private_api_ip</f>
        <v>192.168.140.9</v>
      </c>
    </row>
    <row r="18" spans="1:2" x14ac:dyDescent="0.25">
      <c r="A18" s="27" t="s">
        <v>523</v>
      </c>
      <c r="B18" s="74" t="str">
        <f>sah_management_ip</f>
        <v>192.168.110.109</v>
      </c>
    </row>
    <row r="19" spans="1:2" x14ac:dyDescent="0.25">
      <c r="A19" s="27" t="s">
        <v>542</v>
      </c>
      <c r="B19" s="74" t="str">
        <f>sah_bonding_opts</f>
        <v>mode=802.3ad miimon=100 xmit_hash_policy=layer3+4 lacp_rate=1</v>
      </c>
    </row>
    <row r="20" spans="1:2" x14ac:dyDescent="0.25">
      <c r="A20" s="27" t="s">
        <v>424</v>
      </c>
      <c r="B20" s="74" t="str">
        <f>sah_ipmi_user</f>
        <v>root</v>
      </c>
    </row>
    <row r="21" spans="1:2" x14ac:dyDescent="0.25">
      <c r="A21" s="27" t="s">
        <v>425</v>
      </c>
      <c r="B21" s="74" t="str">
        <f>sah_ipmi_password</f>
        <v>pass1234</v>
      </c>
    </row>
    <row r="22" spans="1:2" x14ac:dyDescent="0.25">
      <c r="A22" s="27"/>
      <c r="B22" s="74"/>
    </row>
    <row r="23" spans="1:2" x14ac:dyDescent="0.25">
      <c r="A23" s="27" t="s">
        <v>528</v>
      </c>
      <c r="B23" s="74" t="str">
        <f>director_hostname</f>
        <v>director</v>
      </c>
    </row>
    <row r="24" spans="1:2" x14ac:dyDescent="0.25">
      <c r="A24" s="27" t="s">
        <v>526</v>
      </c>
      <c r="B24" s="74" t="str">
        <f>director_root_password</f>
        <v>pass1234</v>
      </c>
    </row>
    <row r="25" spans="1:2" x14ac:dyDescent="0.25">
      <c r="A25" s="27" t="s">
        <v>369</v>
      </c>
      <c r="B25" s="74" t="str">
        <f>director_public_ip</f>
        <v>100.100.10.140</v>
      </c>
    </row>
    <row r="26" spans="1:2" x14ac:dyDescent="0.25">
      <c r="A26" s="27" t="s">
        <v>533</v>
      </c>
      <c r="B26" s="74" t="str">
        <f>director_public_ip</f>
        <v>100.100.10.140</v>
      </c>
    </row>
    <row r="27" spans="1:2" x14ac:dyDescent="0.25">
      <c r="A27" s="27" t="s">
        <v>370</v>
      </c>
      <c r="B27" s="74" t="str">
        <f>director_os_oob_management_ip</f>
        <v>192.168.110.110</v>
      </c>
    </row>
    <row r="28" spans="1:2" x14ac:dyDescent="0.25">
      <c r="A28" s="27" t="s">
        <v>543</v>
      </c>
      <c r="B28" s="74" t="str">
        <f>director_os_oob_management_ip</f>
        <v>192.168.110.110</v>
      </c>
    </row>
    <row r="29" spans="1:2" x14ac:dyDescent="0.25">
      <c r="A29" s="27" t="s">
        <v>563</v>
      </c>
      <c r="B29" s="74" t="str">
        <f>director_provision_ip</f>
        <v>192.168.120.10</v>
      </c>
    </row>
    <row r="30" spans="1:2" x14ac:dyDescent="0.25">
      <c r="A30" s="27" t="s">
        <v>532</v>
      </c>
      <c r="B30" s="74" t="str">
        <f>director_private_api_ip</f>
        <v>192.168.140.10</v>
      </c>
    </row>
    <row r="31" spans="1:2" x14ac:dyDescent="0.25">
      <c r="A31" s="27" t="s">
        <v>368</v>
      </c>
      <c r="B31" s="74" t="str">
        <f>director_storage_ip</f>
        <v>192.168.170.10</v>
      </c>
    </row>
    <row r="32" spans="1:2" x14ac:dyDescent="0.25">
      <c r="A32" s="27"/>
      <c r="B32" s="74"/>
    </row>
    <row r="33" spans="1:2" x14ac:dyDescent="0.25">
      <c r="A33" s="27" t="s">
        <v>529</v>
      </c>
      <c r="B33" s="74" t="str">
        <f>dashboard_hostname</f>
        <v>dashboard</v>
      </c>
    </row>
    <row r="34" spans="1:2" x14ac:dyDescent="0.25">
      <c r="A34" s="27" t="s">
        <v>527</v>
      </c>
      <c r="B34" s="74" t="str">
        <f>dashboard_root_password</f>
        <v>pass1234</v>
      </c>
    </row>
    <row r="35" spans="1:2" x14ac:dyDescent="0.25">
      <c r="A35" s="27" t="s">
        <v>371</v>
      </c>
      <c r="B35" s="74" t="str">
        <f>dashboard_public_ip</f>
        <v>100.100.10.141</v>
      </c>
    </row>
    <row r="36" spans="1:2" x14ac:dyDescent="0.25">
      <c r="A36" s="27" t="s">
        <v>564</v>
      </c>
      <c r="B36" s="74" t="str">
        <f>dashboard_public_ip</f>
        <v>100.100.10.141</v>
      </c>
    </row>
    <row r="37" spans="1:2" x14ac:dyDescent="0.25">
      <c r="A37" s="27" t="s">
        <v>372</v>
      </c>
      <c r="B37" s="74" t="str">
        <f>dashboard_storage_ip</f>
        <v>192.168.170.11</v>
      </c>
    </row>
    <row r="38" spans="1:2" x14ac:dyDescent="0.25">
      <c r="A38" s="27"/>
      <c r="B38" s="74"/>
    </row>
    <row r="39" spans="1:2" x14ac:dyDescent="0.25">
      <c r="A39" s="27" t="str">
        <f>CONCATENATE('Node Inventory'!A9,"_service_tag")</f>
        <v>controller_0_service_tag</v>
      </c>
      <c r="B39" s="74" t="str">
        <f>node_0_service_tag</f>
        <v>54Q0JK2</v>
      </c>
    </row>
    <row r="40" spans="1:2" x14ac:dyDescent="0.25">
      <c r="A40" s="27" t="str">
        <f>CONCATENATE('Node Inventory'!A9,"_idrac_ip")</f>
        <v>controller_0_idrac_ip</v>
      </c>
      <c r="B40" s="74" t="str">
        <f>node_0_idrac_ip</f>
        <v>192.168.110.12</v>
      </c>
    </row>
    <row r="41" spans="1:2" x14ac:dyDescent="0.25">
      <c r="A41" s="27" t="str">
        <f>CONCATENATE('Node Inventory'!A9,"_os_volume_size_gb")</f>
        <v>controller_0_os_volume_size_gb</v>
      </c>
      <c r="B41" s="74">
        <f>node_0_os_size</f>
        <v>1115</v>
      </c>
    </row>
    <row r="42" spans="1:2" x14ac:dyDescent="0.25">
      <c r="A42" s="27" t="str">
        <f>CONCATENATE('Node Inventory'!A9,"_public_ip")</f>
        <v>controller_0_public_ip</v>
      </c>
      <c r="B42" s="74" t="str">
        <f>node_0_public_ip</f>
        <v>100.100.10.142</v>
      </c>
    </row>
    <row r="43" spans="1:2" x14ac:dyDescent="0.25">
      <c r="A43" s="27" t="str">
        <f>CONCATENATE('Node Inventory'!A9,"_public_api_ip")</f>
        <v>controller_0_public_api_ip</v>
      </c>
      <c r="B43" s="74" t="str">
        <f>node_0_public_ip</f>
        <v>100.100.10.142</v>
      </c>
    </row>
    <row r="44" spans="1:2" x14ac:dyDescent="0.25">
      <c r="A44" s="27" t="str">
        <f>CONCATENATE('Node Inventory'!A9,"_provisioning_ip")</f>
        <v>controller_0_provisioning_ip</v>
      </c>
      <c r="B44" s="74" t="str">
        <f>node_0_provision_ip</f>
        <v>DHCP</v>
      </c>
    </row>
    <row r="45" spans="1:2" x14ac:dyDescent="0.25">
      <c r="A45" s="27" t="str">
        <f>CONCATENATE('Node Inventory'!A9,"_tenant_tunnel_ip")</f>
        <v>controller_0_tenant_tunnel_ip</v>
      </c>
      <c r="B45" s="74" t="str">
        <f>node_0_tenant_tunnel_ip</f>
        <v>192.168.130.12</v>
      </c>
    </row>
    <row r="46" spans="1:2" x14ac:dyDescent="0.25">
      <c r="A46" s="27" t="str">
        <f>CONCATENATE('Node Inventory'!A9,"_private_api_ip")</f>
        <v>controller_0_private_api_ip</v>
      </c>
      <c r="B46" s="74" t="str">
        <f>node_0_private_api_ip</f>
        <v>192.168.140.12</v>
      </c>
    </row>
    <row r="47" spans="1:2" x14ac:dyDescent="0.25">
      <c r="A47" s="27" t="str">
        <f>CONCATENATE('Node Inventory'!A9,"_storage_ip")</f>
        <v>controller_0_storage_ip</v>
      </c>
      <c r="B47" s="74" t="str">
        <f>node_0_storage_ip</f>
        <v>192.168.170.12</v>
      </c>
    </row>
    <row r="48" spans="1:2" x14ac:dyDescent="0.25">
      <c r="A48" s="27" t="str">
        <f>CONCATENATE('Node Inventory'!A9,"_storage_cluster_ip")</f>
        <v>controller_0_storage_cluster_ip</v>
      </c>
      <c r="B48" s="74">
        <f>node_0_storage_cluster_ip</f>
        <v>0</v>
      </c>
    </row>
    <row r="49" spans="1:2" x14ac:dyDescent="0.25">
      <c r="A49" s="27" t="str">
        <f>CONCATENATE('Node Inventory'!A9,"_provisioning_interface")</f>
        <v>controller_0_provisioning_interface</v>
      </c>
      <c r="B49" s="74" t="str">
        <f ca="1">OFFSET(NetworkInterfaces[[#Headers],[Provisioner]],2,)</f>
        <v>em3</v>
      </c>
    </row>
    <row r="50" spans="1:2" x14ac:dyDescent="0.25">
      <c r="A50" s="27" t="str">
        <f>CONCATENATE('Node Inventory'!A9,"_bond_0_interface_0")</f>
        <v>controller_0_bond_0_interface_0</v>
      </c>
      <c r="B50" s="74" t="str">
        <f ca="1">OFFSET(NetworkInterfaces[[#Headers],[Bond0-NIC1]],2,)</f>
        <v>em1</v>
      </c>
    </row>
    <row r="51" spans="1:2" x14ac:dyDescent="0.25">
      <c r="A51" s="27" t="str">
        <f>CONCATENATE('Node Inventory'!A9,"_bond_0_interface_1")</f>
        <v>controller_0_bond_0_interface_1</v>
      </c>
      <c r="B51" s="74" t="str">
        <f ca="1">OFFSET(NetworkInterfaces[[#Headers],[Bond0-NIC2]],2,)</f>
        <v>p2p1</v>
      </c>
    </row>
    <row r="52" spans="1:2" x14ac:dyDescent="0.25">
      <c r="A52" s="27" t="str">
        <f>CONCATENATE('Node Inventory'!A9,"_bond_1_interface_0")</f>
        <v>controller_0_bond_1_interface_0</v>
      </c>
      <c r="B52" s="74" t="str">
        <f ca="1">OFFSET(NetworkInterfaces[[#Headers],[Bond1-NIC1]],2,)</f>
        <v>em2</v>
      </c>
    </row>
    <row r="53" spans="1:2" x14ac:dyDescent="0.25">
      <c r="A53" s="27" t="str">
        <f>CONCATENATE('Node Inventory'!A9,"_bond_1_interface_1")</f>
        <v>controller_0_bond_1_interface_1</v>
      </c>
      <c r="B53" s="74" t="str">
        <f ca="1">OFFSET(NetworkInterfaces[[#Headers],[Bond1-NIC2]],2,)</f>
        <v>p2p2</v>
      </c>
    </row>
    <row r="54" spans="1:2" x14ac:dyDescent="0.25">
      <c r="A54" s="27" t="str">
        <f>CONCATENATE('Node Inventory'!A9,"_bonding_opts")</f>
        <v>controller_0_bonding_opts</v>
      </c>
      <c r="B54" s="74" t="str">
        <f>node_0_bonding_opts</f>
        <v>mode=802.3ad miimon=100 xmit_hash_policy=layer3+4 lacp_rate=1</v>
      </c>
    </row>
    <row r="55" spans="1:2" x14ac:dyDescent="0.25">
      <c r="A55" s="27"/>
      <c r="B55" s="74"/>
    </row>
    <row r="56" spans="1:2" x14ac:dyDescent="0.25">
      <c r="A56" s="27" t="str">
        <f>CONCATENATE('Node Inventory'!A10,"_service_tag")</f>
        <v>controller_1_service_tag</v>
      </c>
      <c r="B56" s="74" t="str">
        <f>node_1_service_tag</f>
        <v>54QRHK2</v>
      </c>
    </row>
    <row r="57" spans="1:2" x14ac:dyDescent="0.25">
      <c r="A57" s="27" t="str">
        <f>CONCATENATE('Node Inventory'!A10,"_idrac_ip")</f>
        <v>controller_1_idrac_ip</v>
      </c>
      <c r="B57" s="74" t="str">
        <f>node_1_idrac_ip</f>
        <v>192.168.110.13</v>
      </c>
    </row>
    <row r="58" spans="1:2" x14ac:dyDescent="0.25">
      <c r="A58" s="27" t="str">
        <f>CONCATENATE('Node Inventory'!A10,"_os_volume_size_gb")</f>
        <v>controller_1_os_volume_size_gb</v>
      </c>
      <c r="B58" s="74">
        <f>node_1_os_size</f>
        <v>1115</v>
      </c>
    </row>
    <row r="59" spans="1:2" x14ac:dyDescent="0.25">
      <c r="A59" s="27" t="str">
        <f>CONCATENATE('Node Inventory'!A10,"_public_ip")</f>
        <v>controller_1_public_ip</v>
      </c>
      <c r="B59" s="74" t="str">
        <f>node_1_public_ip</f>
        <v>100.100.10.143</v>
      </c>
    </row>
    <row r="60" spans="1:2" x14ac:dyDescent="0.25">
      <c r="A60" s="27" t="str">
        <f>CONCATENATE('Node Inventory'!A10,"_public_api_ip")</f>
        <v>controller_1_public_api_ip</v>
      </c>
      <c r="B60" s="74" t="str">
        <f>node_1_public_ip</f>
        <v>100.100.10.143</v>
      </c>
    </row>
    <row r="61" spans="1:2" x14ac:dyDescent="0.25">
      <c r="A61" s="27" t="str">
        <f>CONCATENATE('Node Inventory'!A10,"_provisioning_ip")</f>
        <v>controller_1_provisioning_ip</v>
      </c>
      <c r="B61" s="74" t="str">
        <f>node_1_provision_ip</f>
        <v>DHCP</v>
      </c>
    </row>
    <row r="62" spans="1:2" x14ac:dyDescent="0.25">
      <c r="A62" s="27" t="str">
        <f>CONCATENATE('Node Inventory'!A10,"_tenant_tunnel_ip")</f>
        <v>controller_1_tenant_tunnel_ip</v>
      </c>
      <c r="B62" s="74" t="str">
        <f>node_1_tenant_tunnel_ip</f>
        <v>192.168.130.13</v>
      </c>
    </row>
    <row r="63" spans="1:2" x14ac:dyDescent="0.25">
      <c r="A63" s="27" t="str">
        <f>CONCATENATE('Node Inventory'!A10,"_private_api_ip")</f>
        <v>controller_1_private_api_ip</v>
      </c>
      <c r="B63" s="74" t="str">
        <f>node_1_private_api_ip</f>
        <v>192.168.140.13</v>
      </c>
    </row>
    <row r="64" spans="1:2" x14ac:dyDescent="0.25">
      <c r="A64" s="27" t="str">
        <f>CONCATENATE('Node Inventory'!A10,"_storage_ip")</f>
        <v>controller_1_storage_ip</v>
      </c>
      <c r="B64" s="74" t="str">
        <f>node_1_storage_ip</f>
        <v>192.168.170.13</v>
      </c>
    </row>
    <row r="65" spans="1:2" x14ac:dyDescent="0.25">
      <c r="A65" s="27" t="str">
        <f>CONCATENATE('Node Inventory'!A10,"_storage_cluster_ip")</f>
        <v>controller_1_storage_cluster_ip</v>
      </c>
      <c r="B65" s="74">
        <f>node_1_storage_cluster_ip</f>
        <v>0</v>
      </c>
    </row>
    <row r="66" spans="1:2" x14ac:dyDescent="0.25">
      <c r="A66" s="27" t="str">
        <f>CONCATENATE('Node Inventory'!A10,"_provisioning_interface")</f>
        <v>controller_1_provisioning_interface</v>
      </c>
      <c r="B66" s="74" t="str">
        <f ca="1">OFFSET(NetworkInterfaces[[#Headers],[Provisioner]],2,)</f>
        <v>em3</v>
      </c>
    </row>
    <row r="67" spans="1:2" x14ac:dyDescent="0.25">
      <c r="A67" s="27" t="str">
        <f>CONCATENATE('Node Inventory'!A10,"_bond_0_interface_0")</f>
        <v>controller_1_bond_0_interface_0</v>
      </c>
      <c r="B67" s="74" t="str">
        <f ca="1">OFFSET(NetworkInterfaces[[#Headers],[Bond0-NIC1]],2,)</f>
        <v>em1</v>
      </c>
    </row>
    <row r="68" spans="1:2" x14ac:dyDescent="0.25">
      <c r="A68" s="27" t="str">
        <f>CONCATENATE('Node Inventory'!A10,"_bond_0_interface_1")</f>
        <v>controller_1_bond_0_interface_1</v>
      </c>
      <c r="B68" s="74" t="str">
        <f ca="1">OFFSET(NetworkInterfaces[[#Headers],[Bond0-NIC2]],2,)</f>
        <v>p2p1</v>
      </c>
    </row>
    <row r="69" spans="1:2" x14ac:dyDescent="0.25">
      <c r="A69" s="27" t="str">
        <f>CONCATENATE('Node Inventory'!A10,"_bond_1_interface_0")</f>
        <v>controller_1_bond_1_interface_0</v>
      </c>
      <c r="B69" s="74" t="str">
        <f ca="1">OFFSET(NetworkInterfaces[[#Headers],[Bond1-NIC1]],2,)</f>
        <v>em2</v>
      </c>
    </row>
    <row r="70" spans="1:2" x14ac:dyDescent="0.25">
      <c r="A70" s="27" t="str">
        <f>CONCATENATE('Node Inventory'!A10,"_bond_1_interface_1")</f>
        <v>controller_1_bond_1_interface_1</v>
      </c>
      <c r="B70" s="74" t="str">
        <f ca="1">OFFSET(NetworkInterfaces[[#Headers],[Bond1-NIC2]],2,)</f>
        <v>p2p2</v>
      </c>
    </row>
    <row r="71" spans="1:2" x14ac:dyDescent="0.25">
      <c r="A71" s="27" t="str">
        <f>CONCATENATE('Node Inventory'!A10,"_bonding_opts")</f>
        <v>controller_1_bonding_opts</v>
      </c>
      <c r="B71" s="74" t="str">
        <f>node_1_bonding_opts</f>
        <v>mode=802.3ad miimon=100 xmit_hash_policy=layer3+4 lacp_rate=1</v>
      </c>
    </row>
    <row r="72" spans="1:2" x14ac:dyDescent="0.25">
      <c r="A72" s="27"/>
      <c r="B72" s="74"/>
    </row>
    <row r="73" spans="1:2" x14ac:dyDescent="0.25">
      <c r="A73" s="27" t="str">
        <f>CONCATENATE('Node Inventory'!A11,"_service_tag")</f>
        <v>controller_2_service_tag</v>
      </c>
      <c r="B73" s="74" t="str">
        <f>node_2_service_tag</f>
        <v>54Q1JK2</v>
      </c>
    </row>
    <row r="74" spans="1:2" x14ac:dyDescent="0.25">
      <c r="A74" s="27" t="str">
        <f>CONCATENATE('Node Inventory'!A11,"_idrac_ip")</f>
        <v>controller_2_idrac_ip</v>
      </c>
      <c r="B74" s="74" t="str">
        <f>node_2_idrac_ip</f>
        <v>192.168.110.14</v>
      </c>
    </row>
    <row r="75" spans="1:2" x14ac:dyDescent="0.25">
      <c r="A75" s="27" t="str">
        <f>CONCATENATE('Node Inventory'!A11,"_os_volume_size_gb")</f>
        <v>controller_2_os_volume_size_gb</v>
      </c>
      <c r="B75" s="74">
        <f>node_2_os_size</f>
        <v>1115</v>
      </c>
    </row>
    <row r="76" spans="1:2" x14ac:dyDescent="0.25">
      <c r="A76" s="27" t="str">
        <f>CONCATENATE('Node Inventory'!A11,"_public_ip")</f>
        <v>controller_2_public_ip</v>
      </c>
      <c r="B76" s="74" t="str">
        <f>node_2_public_ip</f>
        <v>100.100.10.144</v>
      </c>
    </row>
    <row r="77" spans="1:2" x14ac:dyDescent="0.25">
      <c r="A77" s="27" t="str">
        <f>CONCATENATE('Node Inventory'!A11,"_public_api_ip")</f>
        <v>controller_2_public_api_ip</v>
      </c>
      <c r="B77" s="74" t="str">
        <f>node_2_public_ip</f>
        <v>100.100.10.144</v>
      </c>
    </row>
    <row r="78" spans="1:2" x14ac:dyDescent="0.25">
      <c r="A78" s="27" t="str">
        <f>CONCATENATE('Node Inventory'!A11,"_provisioning_ip")</f>
        <v>controller_2_provisioning_ip</v>
      </c>
      <c r="B78" s="74" t="str">
        <f>node_2_provision_ip</f>
        <v>DHCP</v>
      </c>
    </row>
    <row r="79" spans="1:2" x14ac:dyDescent="0.25">
      <c r="A79" s="27" t="str">
        <f>CONCATENATE('Node Inventory'!A11,"_tenant_tunnel_ip")</f>
        <v>controller_2_tenant_tunnel_ip</v>
      </c>
      <c r="B79" s="74" t="str">
        <f>node_2_tenant_tunnel_ip</f>
        <v>192.168.130.14</v>
      </c>
    </row>
    <row r="80" spans="1:2" x14ac:dyDescent="0.25">
      <c r="A80" s="27" t="str">
        <f>CONCATENATE('Node Inventory'!A11,"_private_api_ip")</f>
        <v>controller_2_private_api_ip</v>
      </c>
      <c r="B80" s="74" t="str">
        <f>node_2_private_api_ip</f>
        <v>192.168.140.14</v>
      </c>
    </row>
    <row r="81" spans="1:2" x14ac:dyDescent="0.25">
      <c r="A81" s="27" t="str">
        <f>CONCATENATE('Node Inventory'!A11,"_storage_ip")</f>
        <v>controller_2_storage_ip</v>
      </c>
      <c r="B81" s="74" t="str">
        <f>node_2_storage_ip</f>
        <v>192.168.170.14</v>
      </c>
    </row>
    <row r="82" spans="1:2" x14ac:dyDescent="0.25">
      <c r="A82" s="27" t="str">
        <f>CONCATENATE('Node Inventory'!A11,"_storage_cluster_ip")</f>
        <v>controller_2_storage_cluster_ip</v>
      </c>
      <c r="B82" s="74">
        <f>node_2_storage_cluster_ip</f>
        <v>0</v>
      </c>
    </row>
    <row r="83" spans="1:2" x14ac:dyDescent="0.25">
      <c r="A83" s="27" t="str">
        <f>CONCATENATE('Node Inventory'!A11,"_provisioning_interface")</f>
        <v>controller_2_provisioning_interface</v>
      </c>
      <c r="B83" s="74" t="str">
        <f ca="1">OFFSET(NetworkInterfaces[[#Headers],[Provisioner]],2,)</f>
        <v>em3</v>
      </c>
    </row>
    <row r="84" spans="1:2" x14ac:dyDescent="0.25">
      <c r="A84" s="27" t="str">
        <f>CONCATENATE('Node Inventory'!A11,"_bond_0_interface_0")</f>
        <v>controller_2_bond_0_interface_0</v>
      </c>
      <c r="B84" s="74" t="str">
        <f ca="1">OFFSET(NetworkInterfaces[[#Headers],[Bond0-NIC1]],2,)</f>
        <v>em1</v>
      </c>
    </row>
    <row r="85" spans="1:2" x14ac:dyDescent="0.25">
      <c r="A85" s="27" t="str">
        <f>CONCATENATE('Node Inventory'!A11,"_bond_0_interface_1")</f>
        <v>controller_2_bond_0_interface_1</v>
      </c>
      <c r="B85" s="74" t="str">
        <f ca="1">OFFSET(NetworkInterfaces[[#Headers],[Bond0-NIC2]],2,)</f>
        <v>p2p1</v>
      </c>
    </row>
    <row r="86" spans="1:2" x14ac:dyDescent="0.25">
      <c r="A86" s="27" t="str">
        <f>CONCATENATE('Node Inventory'!A11,"_bond_1_interface_0")</f>
        <v>controller_2_bond_1_interface_0</v>
      </c>
      <c r="B86" s="74" t="str">
        <f ca="1">OFFSET(NetworkInterfaces[[#Headers],[Bond1-NIC1]],2,)</f>
        <v>em2</v>
      </c>
    </row>
    <row r="87" spans="1:2" x14ac:dyDescent="0.25">
      <c r="A87" s="27" t="str">
        <f>CONCATENATE('Node Inventory'!A11,"_bond_1_interface_1")</f>
        <v>controller_2_bond_1_interface_1</v>
      </c>
      <c r="B87" s="74" t="str">
        <f ca="1">OFFSET(NetworkInterfaces[[#Headers],[Bond1-NIC2]],2,)</f>
        <v>p2p2</v>
      </c>
    </row>
    <row r="88" spans="1:2" x14ac:dyDescent="0.25">
      <c r="A88" s="27" t="str">
        <f>CONCATENATE('Node Inventory'!A11,"_bonding_opts")</f>
        <v>controller_2_bonding_opts</v>
      </c>
      <c r="B88" s="74" t="str">
        <f>node_2_bonding_opts</f>
        <v>mode=802.3ad miimon=100 xmit_hash_policy=layer3+4 lacp_rate=1</v>
      </c>
    </row>
    <row r="89" spans="1:2" x14ac:dyDescent="0.25">
      <c r="A89" s="27"/>
      <c r="B89" s="74"/>
    </row>
    <row r="90" spans="1:2" x14ac:dyDescent="0.25">
      <c r="A90" s="27"/>
      <c r="B90" s="74"/>
    </row>
    <row r="91" spans="1:2" x14ac:dyDescent="0.25">
      <c r="A91" s="27" t="str">
        <f>CONCATENATE('Node Inventory'!A12,"_service_tag")</f>
        <v>compute_0_service_tag</v>
      </c>
      <c r="B91" s="74" t="str">
        <f>node_3_service_tag</f>
        <v>54QSHK2</v>
      </c>
    </row>
    <row r="92" spans="1:2" x14ac:dyDescent="0.25">
      <c r="A92" s="27" t="str">
        <f>CONCATENATE('Node Inventory'!A12,"_idrac_ip")</f>
        <v>compute_0_idrac_ip</v>
      </c>
      <c r="B92" s="74" t="str">
        <f>node_3_idrac_ip</f>
        <v>192.168.110.15</v>
      </c>
    </row>
    <row r="93" spans="1:2" x14ac:dyDescent="0.25">
      <c r="A93" s="27" t="str">
        <f>CONCATENATE('Node Inventory'!A12,"_os_volume_size_gb")</f>
        <v>compute_0_os_volume_size_gb</v>
      </c>
      <c r="B93" s="74">
        <f>node_3_os_size</f>
        <v>2233</v>
      </c>
    </row>
    <row r="94" spans="1:2" x14ac:dyDescent="0.25">
      <c r="A94" s="27" t="str">
        <f>CONCATENATE('Node Inventory'!A12,"_public_ip")</f>
        <v>compute_0_public_ip</v>
      </c>
      <c r="B94" s="74" t="str">
        <f>node_3_public_ip</f>
        <v>100.100.10.145</v>
      </c>
    </row>
    <row r="95" spans="1:2" x14ac:dyDescent="0.25">
      <c r="A95" s="27" t="str">
        <f>CONCATENATE('Node Inventory'!A12,"_public_api_ip")</f>
        <v>compute_0_public_api_ip</v>
      </c>
      <c r="B95" s="74" t="str">
        <f>node_3_public_ip</f>
        <v>100.100.10.145</v>
      </c>
    </row>
    <row r="96" spans="1:2" x14ac:dyDescent="0.25">
      <c r="A96" s="27" t="str">
        <f>CONCATENATE('Node Inventory'!A12,"_provisioning_ip")</f>
        <v>compute_0_provisioning_ip</v>
      </c>
      <c r="B96" s="74" t="str">
        <f>node_3_provision_ip</f>
        <v>DHCP</v>
      </c>
    </row>
    <row r="97" spans="1:2" x14ac:dyDescent="0.25">
      <c r="A97" s="27" t="str">
        <f>CONCATENATE('Node Inventory'!A12,"_tenant_tunnel_ip")</f>
        <v>compute_0_tenant_tunnel_ip</v>
      </c>
      <c r="B97" s="74" t="str">
        <f>node_3_tenant_tunnel_ip</f>
        <v>192.168.130.15</v>
      </c>
    </row>
    <row r="98" spans="1:2" x14ac:dyDescent="0.25">
      <c r="A98" s="27" t="str">
        <f>CONCATENATE('Node Inventory'!A12,"_private_api_ip")</f>
        <v>compute_0_private_api_ip</v>
      </c>
      <c r="B98" s="74" t="str">
        <f>node_3_private_api_ip</f>
        <v>192.168.140.15</v>
      </c>
    </row>
    <row r="99" spans="1:2" x14ac:dyDescent="0.25">
      <c r="A99" s="27" t="str">
        <f>CONCATENATE('Node Inventory'!A12,"_storage_ip")</f>
        <v>compute_0_storage_ip</v>
      </c>
      <c r="B99" s="74" t="str">
        <f>node_3_storage_ip</f>
        <v>192.168.170.15</v>
      </c>
    </row>
    <row r="100" spans="1:2" x14ac:dyDescent="0.25">
      <c r="A100" s="27" t="str">
        <f>CONCATENATE('Node Inventory'!A12,"_storage_cluster_ip")</f>
        <v>compute_0_storage_cluster_ip</v>
      </c>
      <c r="B100" s="74">
        <f>node_3_storage_cluster_ip</f>
        <v>0</v>
      </c>
    </row>
    <row r="101" spans="1:2" x14ac:dyDescent="0.25">
      <c r="A101" s="27" t="str">
        <f>CONCATENATE('Node Inventory'!A12,"_provisioning_interface")</f>
        <v>compute_0_provisioning_interface</v>
      </c>
      <c r="B101" s="74" t="str">
        <f ca="1">OFFSET(NetworkInterfaces[[#Headers],[Provisioner]],3,)</f>
        <v>em3</v>
      </c>
    </row>
    <row r="102" spans="1:2" x14ac:dyDescent="0.25">
      <c r="A102" s="27" t="str">
        <f>CONCATENATE('Node Inventory'!A12,"_bond_0_interface_0")</f>
        <v>compute_0_bond_0_interface_0</v>
      </c>
      <c r="B102" s="74" t="str">
        <f ca="1">OFFSET(NetworkInterfaces[[#Headers],[Bond0-NIC1]],3,)</f>
        <v>em1</v>
      </c>
    </row>
    <row r="103" spans="1:2" x14ac:dyDescent="0.25">
      <c r="A103" s="27" t="str">
        <f>CONCATENATE('Node Inventory'!A12,"_bond_0_interface_1")</f>
        <v>compute_0_bond_0_interface_1</v>
      </c>
      <c r="B103" s="74" t="str">
        <f ca="1">OFFSET(NetworkInterfaces[[#Headers],[Bond0-NIC2]],3,)</f>
        <v>p2p1</v>
      </c>
    </row>
    <row r="104" spans="1:2" x14ac:dyDescent="0.25">
      <c r="A104" s="27" t="str">
        <f>CONCATENATE('Node Inventory'!A12,"_bond_1_interface_0")</f>
        <v>compute_0_bond_1_interface_0</v>
      </c>
      <c r="B104" s="74" t="str">
        <f ca="1">OFFSET(NetworkInterfaces[[#Headers],[Bond1-NIC1]],3,)</f>
        <v>em2</v>
      </c>
    </row>
    <row r="105" spans="1:2" x14ac:dyDescent="0.25">
      <c r="A105" s="27" t="str">
        <f>CONCATENATE('Node Inventory'!A12,"_bond_1_interface_1")</f>
        <v>compute_0_bond_1_interface_1</v>
      </c>
      <c r="B105" s="74" t="str">
        <f ca="1">OFFSET(NetworkInterfaces[[#Headers],[Bond1-NIC2]],3,)</f>
        <v>p2p2</v>
      </c>
    </row>
    <row r="106" spans="1:2" x14ac:dyDescent="0.25">
      <c r="A106" s="27" t="str">
        <f>CONCATENATE('Node Inventory'!A12,"_bonding_opts")</f>
        <v>compute_0_bonding_opts</v>
      </c>
      <c r="B106" s="74" t="str">
        <f>node_3_bonding_opts</f>
        <v>mode=802.3ad miimon=100 xmit_hash_policy=layer3+4 lacp_rate=1</v>
      </c>
    </row>
    <row r="107" spans="1:2" x14ac:dyDescent="0.25">
      <c r="A107" s="27"/>
      <c r="B107" s="74"/>
    </row>
    <row r="108" spans="1:2" x14ac:dyDescent="0.25">
      <c r="A108" s="27" t="str">
        <f>CONCATENATE('Node Inventory'!A13,"_service_tag")</f>
        <v>compute_1_service_tag</v>
      </c>
      <c r="B108" s="74" t="str">
        <f>node_4_service_tag</f>
        <v>54QTHK2</v>
      </c>
    </row>
    <row r="109" spans="1:2" x14ac:dyDescent="0.25">
      <c r="A109" s="27" t="str">
        <f>CONCATENATE('Node Inventory'!A13,"_idrac_ip")</f>
        <v>compute_1_idrac_ip</v>
      </c>
      <c r="B109" s="74" t="str">
        <f>node_4_idrac_ip</f>
        <v>192.168.110.16</v>
      </c>
    </row>
    <row r="110" spans="1:2" x14ac:dyDescent="0.25">
      <c r="A110" s="27" t="str">
        <f>CONCATENATE('Node Inventory'!A13,"_os_volume_size_gb")</f>
        <v>compute_1_os_volume_size_gb</v>
      </c>
      <c r="B110" s="74">
        <f>node_4_os_size</f>
        <v>2233</v>
      </c>
    </row>
    <row r="111" spans="1:2" x14ac:dyDescent="0.25">
      <c r="A111" s="27" t="str">
        <f>CONCATENATE('Node Inventory'!A13,"_public_ip")</f>
        <v>compute_1_public_ip</v>
      </c>
      <c r="B111" s="74" t="str">
        <f>node_4_public_ip</f>
        <v>100.100.10.146</v>
      </c>
    </row>
    <row r="112" spans="1:2" x14ac:dyDescent="0.25">
      <c r="A112" s="27" t="str">
        <f>CONCATENATE('Node Inventory'!A13,"_public_api_ip")</f>
        <v>compute_1_public_api_ip</v>
      </c>
      <c r="B112" s="74" t="str">
        <f>node_4_public_ip</f>
        <v>100.100.10.146</v>
      </c>
    </row>
    <row r="113" spans="1:2" x14ac:dyDescent="0.25">
      <c r="A113" s="27" t="str">
        <f>CONCATENATE('Node Inventory'!A13,"_provisioning_ip")</f>
        <v>compute_1_provisioning_ip</v>
      </c>
      <c r="B113" s="74" t="str">
        <f>node_4_provision_ip</f>
        <v>DHCP</v>
      </c>
    </row>
    <row r="114" spans="1:2" x14ac:dyDescent="0.25">
      <c r="A114" s="27" t="str">
        <f>CONCATENATE('Node Inventory'!A13,"_tenant_tunnel_ip")</f>
        <v>compute_1_tenant_tunnel_ip</v>
      </c>
      <c r="B114" s="74" t="str">
        <f>node_4_tenant_tunnel_ip</f>
        <v>192.168.130.16</v>
      </c>
    </row>
    <row r="115" spans="1:2" x14ac:dyDescent="0.25">
      <c r="A115" s="27" t="str">
        <f>CONCATENATE('Node Inventory'!A13,"_private_api_ip")</f>
        <v>compute_1_private_api_ip</v>
      </c>
      <c r="B115" s="74" t="str">
        <f>node_4_private_api_ip</f>
        <v>192.168.140.16</v>
      </c>
    </row>
    <row r="116" spans="1:2" x14ac:dyDescent="0.25">
      <c r="A116" s="27" t="str">
        <f>CONCATENATE('Node Inventory'!A13,"_storage_ip")</f>
        <v>compute_1_storage_ip</v>
      </c>
      <c r="B116" s="74" t="str">
        <f>node_4_storage_ip</f>
        <v>192.168.170.16</v>
      </c>
    </row>
    <row r="117" spans="1:2" x14ac:dyDescent="0.25">
      <c r="A117" s="27" t="str">
        <f>CONCATENATE('Node Inventory'!A13,"_storage_cluster_ip")</f>
        <v>compute_1_storage_cluster_ip</v>
      </c>
      <c r="B117" s="74">
        <f>node_4_storage_cluster_ip</f>
        <v>0</v>
      </c>
    </row>
    <row r="118" spans="1:2" x14ac:dyDescent="0.25">
      <c r="A118" s="27" t="str">
        <f>CONCATENATE('Node Inventory'!A13,"_provisioning_interface")</f>
        <v>compute_1_provisioning_interface</v>
      </c>
      <c r="B118" s="74" t="str">
        <f ca="1">OFFSET(NetworkInterfaces[[#Headers],[Provisioner]],3,)</f>
        <v>em3</v>
      </c>
    </row>
    <row r="119" spans="1:2" x14ac:dyDescent="0.25">
      <c r="A119" s="27" t="str">
        <f>CONCATENATE('Node Inventory'!A13,"_bond_0_interface_0")</f>
        <v>compute_1_bond_0_interface_0</v>
      </c>
      <c r="B119" s="74" t="str">
        <f ca="1">OFFSET(NetworkInterfaces[[#Headers],[Bond0-NIC1]],3,)</f>
        <v>em1</v>
      </c>
    </row>
    <row r="120" spans="1:2" x14ac:dyDescent="0.25">
      <c r="A120" s="27" t="str">
        <f>CONCATENATE('Node Inventory'!A13,"_bond_0_interface_1")</f>
        <v>compute_1_bond_0_interface_1</v>
      </c>
      <c r="B120" s="74" t="str">
        <f ca="1">OFFSET(NetworkInterfaces[[#Headers],[Bond0-NIC2]],3,)</f>
        <v>p2p1</v>
      </c>
    </row>
    <row r="121" spans="1:2" x14ac:dyDescent="0.25">
      <c r="A121" s="27" t="str">
        <f>CONCATENATE('Node Inventory'!A13,"_bond_1_interface_0")</f>
        <v>compute_1_bond_1_interface_0</v>
      </c>
      <c r="B121" s="74" t="str">
        <f ca="1">OFFSET(NetworkInterfaces[[#Headers],[Bond1-NIC1]],3,)</f>
        <v>em2</v>
      </c>
    </row>
    <row r="122" spans="1:2" x14ac:dyDescent="0.25">
      <c r="A122" s="27" t="str">
        <f>CONCATENATE('Node Inventory'!A13,"_bond_1_interface_1")</f>
        <v>compute_1_bond_1_interface_1</v>
      </c>
      <c r="B122" s="74" t="str">
        <f ca="1">OFFSET(NetworkInterfaces[[#Headers],[Bond1-NIC2]],3,)</f>
        <v>p2p2</v>
      </c>
    </row>
    <row r="123" spans="1:2" x14ac:dyDescent="0.25">
      <c r="A123" s="27" t="str">
        <f>CONCATENATE('Node Inventory'!A13,"_bonding_opts")</f>
        <v>compute_1_bonding_opts</v>
      </c>
      <c r="B123" s="74" t="str">
        <f>node_4_bonding_opts</f>
        <v>mode=802.3ad miimon=100 xmit_hash_policy=layer3+4 lacp_rate=1</v>
      </c>
    </row>
    <row r="124" spans="1:2" x14ac:dyDescent="0.25">
      <c r="A124" s="27"/>
      <c r="B124" s="74"/>
    </row>
    <row r="125" spans="1:2" x14ac:dyDescent="0.25">
      <c r="A125" s="27" t="str">
        <f>CONCATENATE('Node Inventory'!A14,"_service_tag")</f>
        <v>compute_2_service_tag</v>
      </c>
      <c r="B125" s="74" t="str">
        <f>node_5_service_tag</f>
        <v>54QVHK2</v>
      </c>
    </row>
    <row r="126" spans="1:2" x14ac:dyDescent="0.25">
      <c r="A126" s="27" t="str">
        <f>CONCATENATE('Node Inventory'!A14,"_idrac_ip")</f>
        <v>compute_2_idrac_ip</v>
      </c>
      <c r="B126" s="74" t="str">
        <f>node_5_idrac_ip</f>
        <v>192.168.110.17</v>
      </c>
    </row>
    <row r="127" spans="1:2" x14ac:dyDescent="0.25">
      <c r="A127" s="27" t="str">
        <f>CONCATENATE('Node Inventory'!A14,"_os_volume_size_gb")</f>
        <v>compute_2_os_volume_size_gb</v>
      </c>
      <c r="B127" s="74">
        <f>node_5_os_size</f>
        <v>2233</v>
      </c>
    </row>
    <row r="128" spans="1:2" x14ac:dyDescent="0.25">
      <c r="A128" s="27" t="str">
        <f>CONCATENATE('Node Inventory'!A14,"_public_ip")</f>
        <v>compute_2_public_ip</v>
      </c>
      <c r="B128" s="74" t="str">
        <f>node_5_public_ip</f>
        <v>100.100.10.147</v>
      </c>
    </row>
    <row r="129" spans="1:2" x14ac:dyDescent="0.25">
      <c r="A129" s="27" t="str">
        <f>CONCATENATE('Node Inventory'!A14,"_public_api_ip")</f>
        <v>compute_2_public_api_ip</v>
      </c>
      <c r="B129" s="74" t="str">
        <f>node_5_public_ip</f>
        <v>100.100.10.147</v>
      </c>
    </row>
    <row r="130" spans="1:2" x14ac:dyDescent="0.25">
      <c r="A130" s="27" t="str">
        <f>CONCATENATE('Node Inventory'!A14,"_provisioning_ip")</f>
        <v>compute_2_provisioning_ip</v>
      </c>
      <c r="B130" s="74" t="str">
        <f>node_5_provision_ip</f>
        <v>DHCP</v>
      </c>
    </row>
    <row r="131" spans="1:2" x14ac:dyDescent="0.25">
      <c r="A131" s="27" t="str">
        <f>CONCATENATE('Node Inventory'!A14,"_tenant_tunnel_ip")</f>
        <v>compute_2_tenant_tunnel_ip</v>
      </c>
      <c r="B131" s="74" t="str">
        <f>node_5_tenant_tunnel_ip</f>
        <v>192.168.130.17</v>
      </c>
    </row>
    <row r="132" spans="1:2" x14ac:dyDescent="0.25">
      <c r="A132" s="27" t="str">
        <f>CONCATENATE('Node Inventory'!A14,"_private_api_ip")</f>
        <v>compute_2_private_api_ip</v>
      </c>
      <c r="B132" s="74" t="str">
        <f>node_5_private_api_ip</f>
        <v>192.168.140.17</v>
      </c>
    </row>
    <row r="133" spans="1:2" x14ac:dyDescent="0.25">
      <c r="A133" s="27" t="str">
        <f>CONCATENATE('Node Inventory'!A14,"_storage_ip")</f>
        <v>compute_2_storage_ip</v>
      </c>
      <c r="B133" s="74" t="str">
        <f>node_5_storage_ip</f>
        <v>192.168.170.17</v>
      </c>
    </row>
    <row r="134" spans="1:2" x14ac:dyDescent="0.25">
      <c r="A134" s="27" t="str">
        <f>CONCATENATE('Node Inventory'!A14,"_storage_cluster_ip")</f>
        <v>compute_2_storage_cluster_ip</v>
      </c>
      <c r="B134" s="74">
        <f>node_5_storage_cluster_ip</f>
        <v>0</v>
      </c>
    </row>
    <row r="135" spans="1:2" x14ac:dyDescent="0.25">
      <c r="A135" s="27" t="str">
        <f>CONCATENATE('Node Inventory'!A14,"_provisioning_interface")</f>
        <v>compute_2_provisioning_interface</v>
      </c>
      <c r="B135" s="74" t="str">
        <f ca="1">OFFSET(NetworkInterfaces[[#Headers],[Provisioner]],3,)</f>
        <v>em3</v>
      </c>
    </row>
    <row r="136" spans="1:2" x14ac:dyDescent="0.25">
      <c r="A136" s="27" t="str">
        <f>CONCATENATE('Node Inventory'!A14,"_bond_0_interface_0")</f>
        <v>compute_2_bond_0_interface_0</v>
      </c>
      <c r="B136" s="74" t="str">
        <f ca="1">OFFSET(NetworkInterfaces[[#Headers],[Bond0-NIC1]],3,)</f>
        <v>em1</v>
      </c>
    </row>
    <row r="137" spans="1:2" x14ac:dyDescent="0.25">
      <c r="A137" s="27" t="str">
        <f>CONCATENATE('Node Inventory'!A14,"_bond_0_interface_1")</f>
        <v>compute_2_bond_0_interface_1</v>
      </c>
      <c r="B137" s="74" t="str">
        <f ca="1">OFFSET(NetworkInterfaces[[#Headers],[Bond0-NIC2]],3,)</f>
        <v>p2p1</v>
      </c>
    </row>
    <row r="138" spans="1:2" x14ac:dyDescent="0.25">
      <c r="A138" s="27" t="str">
        <f>CONCATENATE('Node Inventory'!A14,"_bond_1_interface_0")</f>
        <v>compute_2_bond_1_interface_0</v>
      </c>
      <c r="B138" s="74" t="str">
        <f ca="1">OFFSET(NetworkInterfaces[[#Headers],[Bond1-NIC1]],3,)</f>
        <v>em2</v>
      </c>
    </row>
    <row r="139" spans="1:2" x14ac:dyDescent="0.25">
      <c r="A139" s="27" t="str">
        <f>CONCATENATE('Node Inventory'!A14,"_bond_1_interface_1")</f>
        <v>compute_2_bond_1_interface_1</v>
      </c>
      <c r="B139" s="74" t="str">
        <f ca="1">OFFSET(NetworkInterfaces[[#Headers],[Bond1-NIC2]],3,)</f>
        <v>p2p2</v>
      </c>
    </row>
    <row r="140" spans="1:2" x14ac:dyDescent="0.25">
      <c r="A140" s="27" t="str">
        <f>CONCATENATE('Node Inventory'!A14,"_bonding_opts")</f>
        <v>compute_2_bonding_opts</v>
      </c>
      <c r="B140" s="74" t="str">
        <f>node_5_bonding_opts</f>
        <v>mode=802.3ad miimon=100 xmit_hash_policy=layer3+4 lacp_rate=1</v>
      </c>
    </row>
    <row r="141" spans="1:2" x14ac:dyDescent="0.25">
      <c r="A141" s="27"/>
      <c r="B141" s="74"/>
    </row>
    <row r="142" spans="1:2" x14ac:dyDescent="0.25">
      <c r="A142" s="27" t="str">
        <f>CONCATENATE('Node Inventory'!A15,"_service_tag")</f>
        <v>storage_0_service_tag</v>
      </c>
      <c r="B142" s="74" t="str">
        <f>node_6_service_tag</f>
        <v>HG5YHK2</v>
      </c>
    </row>
    <row r="143" spans="1:2" x14ac:dyDescent="0.25">
      <c r="A143" s="27" t="str">
        <f>CONCATENATE('Node Inventory'!A15,"_idrac_ip")</f>
        <v>storage_0_idrac_ip</v>
      </c>
      <c r="B143" s="74" t="str">
        <f>node_6_idrac_ip</f>
        <v>192.168.110.18</v>
      </c>
    </row>
    <row r="144" spans="1:2" x14ac:dyDescent="0.25">
      <c r="A144" s="27" t="str">
        <f>CONCATENATE('Node Inventory'!A15,"_os_volume_size_gb")</f>
        <v>storage_0_os_volume_size_gb</v>
      </c>
      <c r="B144" s="74">
        <f>node_6_os_size</f>
        <v>223</v>
      </c>
    </row>
    <row r="145" spans="1:2" x14ac:dyDescent="0.25">
      <c r="A145" s="27" t="str">
        <f>CONCATENATE('Node Inventory'!A15,"_public_ip")</f>
        <v>storage_0_public_ip</v>
      </c>
      <c r="B145" s="74" t="str">
        <f>node_6_public_ip</f>
        <v>100.100.10.148</v>
      </c>
    </row>
    <row r="146" spans="1:2" x14ac:dyDescent="0.25">
      <c r="A146" s="27" t="str">
        <f>CONCATENATE('Node Inventory'!A15,"_public_api_ip")</f>
        <v>storage_0_public_api_ip</v>
      </c>
      <c r="B146" s="74" t="str">
        <f>node_6_public_ip</f>
        <v>100.100.10.148</v>
      </c>
    </row>
    <row r="147" spans="1:2" x14ac:dyDescent="0.25">
      <c r="A147" s="27" t="str">
        <f>CONCATENATE('Node Inventory'!A15,"_provisioning_ip")</f>
        <v>storage_0_provisioning_ip</v>
      </c>
      <c r="B147" s="74" t="str">
        <f>node_6_provision_ip</f>
        <v>DHCP</v>
      </c>
    </row>
    <row r="148" spans="1:2" x14ac:dyDescent="0.25">
      <c r="A148" s="27" t="str">
        <f>CONCATENATE('Node Inventory'!A15,"_tenant_tunnel_ip")</f>
        <v>storage_0_tenant_tunnel_ip</v>
      </c>
      <c r="B148" s="74">
        <f>node_6_tenant_tunnel_ip</f>
        <v>0</v>
      </c>
    </row>
    <row r="149" spans="1:2" x14ac:dyDescent="0.25">
      <c r="A149" s="27" t="str">
        <f>CONCATENATE('Node Inventory'!A15,"_private_api_ip")</f>
        <v>storage_0_private_api_ip</v>
      </c>
      <c r="B149" s="74">
        <f>node_6_private_api_ip</f>
        <v>0</v>
      </c>
    </row>
    <row r="150" spans="1:2" x14ac:dyDescent="0.25">
      <c r="A150" s="27" t="str">
        <f>CONCATENATE('Node Inventory'!A15,"_storage_ip")</f>
        <v>storage_0_storage_ip</v>
      </c>
      <c r="B150" s="74" t="str">
        <f>node_6_storage_ip</f>
        <v>192.168.170.18</v>
      </c>
    </row>
    <row r="151" spans="1:2" x14ac:dyDescent="0.25">
      <c r="A151" s="27" t="str">
        <f>CONCATENATE('Node Inventory'!A15,"_storage_cluster_ip")</f>
        <v>storage_0_storage_cluster_ip</v>
      </c>
      <c r="B151" s="74" t="str">
        <f>node_6_storage_cluster_ip</f>
        <v>192.168.180.18</v>
      </c>
    </row>
    <row r="152" spans="1:2" x14ac:dyDescent="0.25">
      <c r="A152" s="27" t="str">
        <f>CONCATENATE('Node Inventory'!A15,"_provisioning_interface")</f>
        <v>storage_0_provisioning_interface</v>
      </c>
      <c r="B152" s="74" t="str">
        <f ca="1">OFFSET(NetworkInterfaces[[#Headers],[Provisioner]],3,)</f>
        <v>em3</v>
      </c>
    </row>
    <row r="153" spans="1:2" x14ac:dyDescent="0.25">
      <c r="A153" s="27" t="str">
        <f>CONCATENATE('Node Inventory'!A15,"_bond_0_interface_0")</f>
        <v>storage_0_bond_0_interface_0</v>
      </c>
      <c r="B153" s="74" t="str">
        <f ca="1">OFFSET(NetworkInterfaces[[#Headers],[Bond0-NIC1]],3,)</f>
        <v>em1</v>
      </c>
    </row>
    <row r="154" spans="1:2" x14ac:dyDescent="0.25">
      <c r="A154" s="27" t="str">
        <f>CONCATENATE('Node Inventory'!A15,"_bond_0_interface_1")</f>
        <v>storage_0_bond_0_interface_1</v>
      </c>
      <c r="B154" s="74" t="str">
        <f ca="1">OFFSET(NetworkInterfaces[[#Headers],[Bond0-NIC2]],3,)</f>
        <v>p2p1</v>
      </c>
    </row>
    <row r="155" spans="1:2" x14ac:dyDescent="0.25">
      <c r="A155" s="27" t="str">
        <f>CONCATENATE('Node Inventory'!A15,"_bond_1_interface_0")</f>
        <v>storage_0_bond_1_interface_0</v>
      </c>
      <c r="B155" s="74" t="str">
        <f ca="1">OFFSET(NetworkInterfaces[[#Headers],[Bond1-NIC1]],3,)</f>
        <v>em2</v>
      </c>
    </row>
    <row r="156" spans="1:2" x14ac:dyDescent="0.25">
      <c r="A156" s="27" t="str">
        <f>CONCATENATE('Node Inventory'!A15,"_bond_1_interface_1")</f>
        <v>storage_0_bond_1_interface_1</v>
      </c>
      <c r="B156" s="74" t="str">
        <f ca="1">OFFSET(NetworkInterfaces[[#Headers],[Bond1-NIC2]],3,)</f>
        <v>p2p2</v>
      </c>
    </row>
    <row r="157" spans="1:2" x14ac:dyDescent="0.25">
      <c r="A157" s="27" t="str">
        <f>CONCATENATE('Node Inventory'!A15,"_bonding_opts")</f>
        <v>storage_0_bonding_opts</v>
      </c>
      <c r="B157" s="74" t="str">
        <f>node_6_bonding_opts</f>
        <v>mode=802.3ad miimon=100 xmit_hash_policy=layer3+4 lacp_rate=1</v>
      </c>
    </row>
    <row r="158" spans="1:2" x14ac:dyDescent="0.25">
      <c r="A158" s="27"/>
      <c r="B158" s="74"/>
    </row>
    <row r="159" spans="1:2" x14ac:dyDescent="0.25">
      <c r="A159" s="27" t="str">
        <f>CONCATENATE('Node Inventory'!A16,"_service_tag")</f>
        <v>storage_1_service_tag</v>
      </c>
      <c r="B159" s="74" t="str">
        <f>node_7_service_tag</f>
        <v>HG60JK2</v>
      </c>
    </row>
    <row r="160" spans="1:2" x14ac:dyDescent="0.25">
      <c r="A160" s="27" t="str">
        <f>CONCATENATE('Node Inventory'!A16,"_idrac_ip")</f>
        <v>storage_1_idrac_ip</v>
      </c>
      <c r="B160" s="74" t="str">
        <f>node_7_idrac_ip</f>
        <v>192.168.110.19</v>
      </c>
    </row>
    <row r="161" spans="1:2" x14ac:dyDescent="0.25">
      <c r="A161" s="27" t="str">
        <f>CONCATENATE('Node Inventory'!A16,"_os_volume_size_gb")</f>
        <v>storage_1_os_volume_size_gb</v>
      </c>
      <c r="B161" s="74">
        <f>node_7_os_size</f>
        <v>223</v>
      </c>
    </row>
    <row r="162" spans="1:2" x14ac:dyDescent="0.25">
      <c r="A162" s="27" t="str">
        <f>CONCATENATE('Node Inventory'!A16,"_public_ip")</f>
        <v>storage_1_public_ip</v>
      </c>
      <c r="B162" s="74" t="str">
        <f>node_7_public_ip</f>
        <v>100.100.10.149</v>
      </c>
    </row>
    <row r="163" spans="1:2" x14ac:dyDescent="0.25">
      <c r="A163" s="27" t="str">
        <f>CONCATENATE('Node Inventory'!A16,"_public_api_ip")</f>
        <v>storage_1_public_api_ip</v>
      </c>
      <c r="B163" s="74" t="str">
        <f>node_7_public_ip</f>
        <v>100.100.10.149</v>
      </c>
    </row>
    <row r="164" spans="1:2" x14ac:dyDescent="0.25">
      <c r="A164" s="27" t="str">
        <f>CONCATENATE('Node Inventory'!A16,"_provisioning_ip")</f>
        <v>storage_1_provisioning_ip</v>
      </c>
      <c r="B164" s="74" t="str">
        <f>node_7_provision_ip</f>
        <v>DHCP</v>
      </c>
    </row>
    <row r="165" spans="1:2" x14ac:dyDescent="0.25">
      <c r="A165" s="27" t="str">
        <f>CONCATENATE('Node Inventory'!A16,"_tenant_tunnel_ip")</f>
        <v>storage_1_tenant_tunnel_ip</v>
      </c>
      <c r="B165" s="74">
        <f>node_7_tenant_tunnel_ip</f>
        <v>0</v>
      </c>
    </row>
    <row r="166" spans="1:2" x14ac:dyDescent="0.25">
      <c r="A166" s="27" t="str">
        <f>CONCATENATE('Node Inventory'!A16,"_private_api_ip")</f>
        <v>storage_1_private_api_ip</v>
      </c>
      <c r="B166" s="74">
        <f>node_7_private_api_ip</f>
        <v>0</v>
      </c>
    </row>
    <row r="167" spans="1:2" x14ac:dyDescent="0.25">
      <c r="A167" s="27" t="str">
        <f>CONCATENATE('Node Inventory'!A16,"_storage_ip")</f>
        <v>storage_1_storage_ip</v>
      </c>
      <c r="B167" s="74" t="str">
        <f>node_7_storage_ip</f>
        <v>192.168.170.19</v>
      </c>
    </row>
    <row r="168" spans="1:2" x14ac:dyDescent="0.25">
      <c r="A168" s="27" t="str">
        <f>CONCATENATE('Node Inventory'!A16,"_storage_cluster_ip")</f>
        <v>storage_1_storage_cluster_ip</v>
      </c>
      <c r="B168" s="74" t="str">
        <f>node_7_storage_cluster_ip</f>
        <v>192.168.180.19</v>
      </c>
    </row>
    <row r="169" spans="1:2" x14ac:dyDescent="0.25">
      <c r="A169" s="27" t="str">
        <f>CONCATENATE('Node Inventory'!A16,"_provisioning_interface")</f>
        <v>storage_1_provisioning_interface</v>
      </c>
      <c r="B169" s="74" t="str">
        <f ca="1">OFFSET(NetworkInterfaces[[#Headers],[Provisioner]],3,)</f>
        <v>em3</v>
      </c>
    </row>
    <row r="170" spans="1:2" x14ac:dyDescent="0.25">
      <c r="A170" s="27" t="str">
        <f>CONCATENATE('Node Inventory'!A16,"_bond_0_interface_0")</f>
        <v>storage_1_bond_0_interface_0</v>
      </c>
      <c r="B170" s="74" t="str">
        <f ca="1">OFFSET(NetworkInterfaces[[#Headers],[Bond0-NIC1]],3,)</f>
        <v>em1</v>
      </c>
    </row>
    <row r="171" spans="1:2" x14ac:dyDescent="0.25">
      <c r="A171" s="27" t="str">
        <f>CONCATENATE('Node Inventory'!A16,"_bond_0_interface_1")</f>
        <v>storage_1_bond_0_interface_1</v>
      </c>
      <c r="B171" s="74" t="str">
        <f ca="1">OFFSET(NetworkInterfaces[[#Headers],[Bond0-NIC2]],3,)</f>
        <v>p2p1</v>
      </c>
    </row>
    <row r="172" spans="1:2" x14ac:dyDescent="0.25">
      <c r="A172" s="27" t="str">
        <f>CONCATENATE('Node Inventory'!A16,"_bond_1_interface_0")</f>
        <v>storage_1_bond_1_interface_0</v>
      </c>
      <c r="B172" s="74" t="str">
        <f ca="1">OFFSET(NetworkInterfaces[[#Headers],[Bond1-NIC1]],3,)</f>
        <v>em2</v>
      </c>
    </row>
    <row r="173" spans="1:2" x14ac:dyDescent="0.25">
      <c r="A173" s="27" t="str">
        <f>CONCATENATE('Node Inventory'!A16,"_bond_1_interface_1")</f>
        <v>storage_1_bond_1_interface_1</v>
      </c>
      <c r="B173" s="74" t="str">
        <f ca="1">OFFSET(NetworkInterfaces[[#Headers],[Bond1-NIC2]],3,)</f>
        <v>p2p2</v>
      </c>
    </row>
    <row r="174" spans="1:2" x14ac:dyDescent="0.25">
      <c r="A174" s="27" t="str">
        <f>CONCATENATE('Node Inventory'!A16,"_bonding_opts")</f>
        <v>storage_1_bonding_opts</v>
      </c>
      <c r="B174" s="74" t="str">
        <f>node_7_bonding_opts</f>
        <v>mode=802.3ad miimon=100 xmit_hash_policy=layer3+4 lacp_rate=1</v>
      </c>
    </row>
    <row r="175" spans="1:2" x14ac:dyDescent="0.25">
      <c r="A175" s="27"/>
      <c r="B175" s="74"/>
    </row>
    <row r="176" spans="1:2" x14ac:dyDescent="0.25">
      <c r="A176" s="27" t="str">
        <f>CONCATENATE('Node Inventory'!A17,"_service_tag")</f>
        <v>storage_2_service_tag</v>
      </c>
      <c r="B176" s="74" t="str">
        <f>node_8_service_tag</f>
        <v>HG5ZHK2</v>
      </c>
    </row>
    <row r="177" spans="1:2" x14ac:dyDescent="0.25">
      <c r="A177" s="27" t="str">
        <f>CONCATENATE('Node Inventory'!A17,"_idrac_ip")</f>
        <v>storage_2_idrac_ip</v>
      </c>
      <c r="B177" s="74" t="str">
        <f>node_8_idrac_ip</f>
        <v>192.168.110.20</v>
      </c>
    </row>
    <row r="178" spans="1:2" x14ac:dyDescent="0.25">
      <c r="A178" s="27" t="str">
        <f>CONCATENATE('Node Inventory'!A17,"_os_volume_size_gb")</f>
        <v>storage_2_os_volume_size_gb</v>
      </c>
      <c r="B178" s="74">
        <f>node_8_os_size</f>
        <v>223</v>
      </c>
    </row>
    <row r="179" spans="1:2" x14ac:dyDescent="0.25">
      <c r="A179" s="27" t="str">
        <f>CONCATENATE('Node Inventory'!A17,"_public_ip")</f>
        <v>storage_2_public_ip</v>
      </c>
      <c r="B179" s="74" t="str">
        <f>node_8_public_ip</f>
        <v>100.100.10.150</v>
      </c>
    </row>
    <row r="180" spans="1:2" x14ac:dyDescent="0.25">
      <c r="A180" s="27" t="str">
        <f>CONCATENATE('Node Inventory'!A17,"_public_api_ip")</f>
        <v>storage_2_public_api_ip</v>
      </c>
      <c r="B180" s="74" t="str">
        <f>node_8_public_ip</f>
        <v>100.100.10.150</v>
      </c>
    </row>
    <row r="181" spans="1:2" x14ac:dyDescent="0.25">
      <c r="A181" s="27" t="str">
        <f>CONCATENATE('Node Inventory'!A17,"_provisioning_ip")</f>
        <v>storage_2_provisioning_ip</v>
      </c>
      <c r="B181" s="74" t="str">
        <f>node_8_provision_ip</f>
        <v>DHCP</v>
      </c>
    </row>
    <row r="182" spans="1:2" x14ac:dyDescent="0.25">
      <c r="A182" s="27" t="str">
        <f>CONCATENATE('Node Inventory'!A17,"_tenant_tunnel_ip")</f>
        <v>storage_2_tenant_tunnel_ip</v>
      </c>
      <c r="B182" s="74">
        <f>node_8_tenant_tunnel_ip</f>
        <v>0</v>
      </c>
    </row>
    <row r="183" spans="1:2" x14ac:dyDescent="0.25">
      <c r="A183" s="27" t="str">
        <f>CONCATENATE('Node Inventory'!A17,"_private_api_ip")</f>
        <v>storage_2_private_api_ip</v>
      </c>
      <c r="B183" s="74">
        <f>node_8_private_api_ip</f>
        <v>0</v>
      </c>
    </row>
    <row r="184" spans="1:2" x14ac:dyDescent="0.25">
      <c r="A184" s="27" t="str">
        <f>CONCATENATE('Node Inventory'!A17,"_storage_ip")</f>
        <v>storage_2_storage_ip</v>
      </c>
      <c r="B184" s="74" t="str">
        <f>node_8_storage_ip</f>
        <v>192.168.170.20</v>
      </c>
    </row>
    <row r="185" spans="1:2" x14ac:dyDescent="0.25">
      <c r="A185" s="27" t="str">
        <f>CONCATENATE('Node Inventory'!A17,"_storage_cluster_ip")</f>
        <v>storage_2_storage_cluster_ip</v>
      </c>
      <c r="B185" s="74" t="str">
        <f>node_8_storage_cluster_ip</f>
        <v>192.168.180.20</v>
      </c>
    </row>
    <row r="186" spans="1:2" x14ac:dyDescent="0.25">
      <c r="A186" s="27" t="str">
        <f>CONCATENATE('Node Inventory'!A17,"_provisioning_interface")</f>
        <v>storage_2_provisioning_interface</v>
      </c>
      <c r="B186" s="74" t="str">
        <f ca="1">OFFSET(NetworkInterfaces[[#Headers],[Provisioner]],3,)</f>
        <v>em3</v>
      </c>
    </row>
    <row r="187" spans="1:2" x14ac:dyDescent="0.25">
      <c r="A187" s="27" t="str">
        <f>CONCATENATE('Node Inventory'!A17,"_bond_0_interface_0")</f>
        <v>storage_2_bond_0_interface_0</v>
      </c>
      <c r="B187" s="74" t="str">
        <f ca="1">OFFSET(NetworkInterfaces[[#Headers],[Bond0-NIC1]],3,)</f>
        <v>em1</v>
      </c>
    </row>
    <row r="188" spans="1:2" x14ac:dyDescent="0.25">
      <c r="A188" s="27" t="str">
        <f>CONCATENATE('Node Inventory'!A17,"_bond_0_interface_1")</f>
        <v>storage_2_bond_0_interface_1</v>
      </c>
      <c r="B188" s="74" t="str">
        <f ca="1">OFFSET(NetworkInterfaces[[#Headers],[Bond0-NIC2]],3,)</f>
        <v>p2p1</v>
      </c>
    </row>
    <row r="189" spans="1:2" x14ac:dyDescent="0.25">
      <c r="A189" s="27" t="str">
        <f>CONCATENATE('Node Inventory'!A17,"_bond_1_interface_0")</f>
        <v>storage_2_bond_1_interface_0</v>
      </c>
      <c r="B189" s="74" t="str">
        <f ca="1">OFFSET(NetworkInterfaces[[#Headers],[Bond1-NIC1]],3,)</f>
        <v>em2</v>
      </c>
    </row>
    <row r="190" spans="1:2" x14ac:dyDescent="0.25">
      <c r="A190" s="27" t="str">
        <f>CONCATENATE('Node Inventory'!A17,"_bond_1_interface_1")</f>
        <v>storage_2_bond_1_interface_1</v>
      </c>
      <c r="B190" s="74" t="str">
        <f ca="1">OFFSET(NetworkInterfaces[[#Headers],[Bond1-NIC2]],3,)</f>
        <v>p2p2</v>
      </c>
    </row>
    <row r="191" spans="1:2" x14ac:dyDescent="0.25">
      <c r="A191" s="27" t="str">
        <f>CONCATENATE('Node Inventory'!A17,"_bonding_opts")</f>
        <v>storage_2_bonding_opts</v>
      </c>
      <c r="B191" s="74" t="str">
        <f>node_8_bonding_opts</f>
        <v>mode=802.3ad miimon=100 xmit_hash_policy=layer3+4 lacp_rate=1</v>
      </c>
    </row>
    <row r="192" spans="1:2" x14ac:dyDescent="0.25">
      <c r="A192" s="27"/>
      <c r="B192" s="74"/>
    </row>
    <row r="193" spans="1:2" x14ac:dyDescent="0.25">
      <c r="A193" s="27" t="str">
        <f>CONCATENATE('Node Inventory'!A18,"_service_tag")</f>
        <v>open_0_service_tag</v>
      </c>
      <c r="B193" s="74" t="str">
        <f>node_9_service_tag</f>
        <v xml:space="preserve"> </v>
      </c>
    </row>
    <row r="194" spans="1:2" x14ac:dyDescent="0.25">
      <c r="A194" s="27" t="str">
        <f>CONCATENATE('Node Inventory'!A18,"_idrac_ip")</f>
        <v>open_0_idrac_ip</v>
      </c>
      <c r="B194" s="74" t="str">
        <f>node_9_idrac_ip</f>
        <v>192.168.110.21</v>
      </c>
    </row>
    <row r="195" spans="1:2" x14ac:dyDescent="0.25">
      <c r="A195" s="27" t="str">
        <f>CONCATENATE('Node Inventory'!A18,"_os_volume_size_gb")</f>
        <v>open_0_os_volume_size_gb</v>
      </c>
      <c r="B195" s="74">
        <f>node_9_os_size</f>
        <v>0</v>
      </c>
    </row>
    <row r="196" spans="1:2" x14ac:dyDescent="0.25">
      <c r="A196" s="27" t="str">
        <f>CONCATENATE('Node Inventory'!A18,"_public_ip")</f>
        <v>open_0_public_ip</v>
      </c>
      <c r="B196" s="74" t="str">
        <f>node_9_public_ip</f>
        <v>100.100.10.151</v>
      </c>
    </row>
    <row r="197" spans="1:2" x14ac:dyDescent="0.25">
      <c r="A197" s="27" t="str">
        <f>CONCATENATE('Node Inventory'!A18,"_public_api_ip")</f>
        <v>open_0_public_api_ip</v>
      </c>
      <c r="B197" s="74" t="str">
        <f>node_9_public_ip</f>
        <v>100.100.10.151</v>
      </c>
    </row>
    <row r="198" spans="1:2" x14ac:dyDescent="0.25">
      <c r="A198" s="27" t="str">
        <f>CONCATENATE('Node Inventory'!A18,"_provisioning_ip")</f>
        <v>open_0_provisioning_ip</v>
      </c>
      <c r="B198" s="74" t="str">
        <f>node_9_provision_ip</f>
        <v>DHCP</v>
      </c>
    </row>
    <row r="199" spans="1:2" x14ac:dyDescent="0.25">
      <c r="A199" s="27" t="str">
        <f>CONCATENATE('Node Inventory'!A18,"_tenant_tunnel_ip")</f>
        <v>open_0_tenant_tunnel_ip</v>
      </c>
      <c r="B199" s="74">
        <f>node_9_tenant_tunnel_ip</f>
        <v>0</v>
      </c>
    </row>
    <row r="200" spans="1:2" x14ac:dyDescent="0.25">
      <c r="A200" s="27" t="str">
        <f>CONCATENATE('Node Inventory'!A18,"_private_api_ip")</f>
        <v>open_0_private_api_ip</v>
      </c>
      <c r="B200" s="74">
        <f>node_9_private_api_ip</f>
        <v>0</v>
      </c>
    </row>
    <row r="201" spans="1:2" x14ac:dyDescent="0.25">
      <c r="A201" s="27" t="str">
        <f>CONCATENATE('Node Inventory'!A18,"_storage_ip")</f>
        <v>open_0_storage_ip</v>
      </c>
      <c r="B201" s="74" t="str">
        <f>node_9_storage_ip</f>
        <v>192.168.170.21</v>
      </c>
    </row>
    <row r="202" spans="1:2" x14ac:dyDescent="0.25">
      <c r="A202" s="27" t="str">
        <f>CONCATENATE('Node Inventory'!A18,"_storage_cluster_ip")</f>
        <v>open_0_storage_cluster_ip</v>
      </c>
      <c r="B202" s="74">
        <f>node_9_storage_cluster_ip</f>
        <v>0</v>
      </c>
    </row>
    <row r="203" spans="1:2" x14ac:dyDescent="0.25">
      <c r="A203" s="27" t="str">
        <f>CONCATENATE('Node Inventory'!A18,"_provisioning_interface")</f>
        <v>open_0_provisioning_interface</v>
      </c>
      <c r="B203" s="74" t="str">
        <f ca="1">OFFSET(NetworkInterfaces[[#Headers],[Provisioner]],3,)</f>
        <v>em3</v>
      </c>
    </row>
    <row r="204" spans="1:2" x14ac:dyDescent="0.25">
      <c r="A204" s="27" t="str">
        <f>CONCATENATE('Node Inventory'!A18,"_bond_0_interface_0")</f>
        <v>open_0_bond_0_interface_0</v>
      </c>
      <c r="B204" s="74" t="str">
        <f ca="1">OFFSET(NetworkInterfaces[[#Headers],[Bond0-NIC1]],3,)</f>
        <v>em1</v>
      </c>
    </row>
    <row r="205" spans="1:2" x14ac:dyDescent="0.25">
      <c r="A205" s="27" t="str">
        <f>CONCATENATE('Node Inventory'!A18,"_bond_0_interface_1")</f>
        <v>open_0_bond_0_interface_1</v>
      </c>
      <c r="B205" s="74" t="str">
        <f ca="1">OFFSET(NetworkInterfaces[[#Headers],[Bond0-NIC2]],3,)</f>
        <v>p2p1</v>
      </c>
    </row>
    <row r="206" spans="1:2" x14ac:dyDescent="0.25">
      <c r="A206" s="27" t="str">
        <f>CONCATENATE('Node Inventory'!A18,"_bond_1_interface_0")</f>
        <v>open_0_bond_1_interface_0</v>
      </c>
      <c r="B206" s="74" t="str">
        <f ca="1">OFFSET(NetworkInterfaces[[#Headers],[Bond1-NIC1]],3,)</f>
        <v>em2</v>
      </c>
    </row>
    <row r="207" spans="1:2" x14ac:dyDescent="0.25">
      <c r="A207" s="27" t="str">
        <f>CONCATENATE('Node Inventory'!A18,"_bond_1_interface_1")</f>
        <v>open_0_bond_1_interface_1</v>
      </c>
      <c r="B207" s="74" t="str">
        <f ca="1">OFFSET(NetworkInterfaces[[#Headers],[Bond1-NIC2]],3,)</f>
        <v>p2p2</v>
      </c>
    </row>
    <row r="208" spans="1:2" x14ac:dyDescent="0.25">
      <c r="A208" s="27" t="str">
        <f>CONCATENATE('Node Inventory'!A18,"_bonding_opts")</f>
        <v>open_0_bonding_opts</v>
      </c>
      <c r="B208" s="74" t="b">
        <f>node_9_bonding_opts</f>
        <v>0</v>
      </c>
    </row>
    <row r="209" spans="1:2" x14ac:dyDescent="0.25">
      <c r="A209" s="27"/>
      <c r="B209" s="74"/>
    </row>
    <row r="210" spans="1:2" x14ac:dyDescent="0.25">
      <c r="A210" s="27" t="str">
        <f>CONCATENATE('Node Inventory'!A19,"_service_tag")</f>
        <v>open_0_service_tag</v>
      </c>
      <c r="B210" s="74" t="str">
        <f>node_10_service_tag</f>
        <v xml:space="preserve"> </v>
      </c>
    </row>
    <row r="211" spans="1:2" x14ac:dyDescent="0.25">
      <c r="A211" s="27" t="str">
        <f>CONCATENATE('Node Inventory'!A19,"_idrac_ip")</f>
        <v>open_0_idrac_ip</v>
      </c>
      <c r="B211" s="74" t="str">
        <f>node_10_idrac_ip</f>
        <v>192.168.110.22</v>
      </c>
    </row>
    <row r="212" spans="1:2" x14ac:dyDescent="0.25">
      <c r="A212" s="27" t="str">
        <f>CONCATENATE('Node Inventory'!A19,"_os_volume_size_gb")</f>
        <v>open_0_os_volume_size_gb</v>
      </c>
      <c r="B212" s="74">
        <f>node_10_os_size</f>
        <v>0</v>
      </c>
    </row>
    <row r="213" spans="1:2" x14ac:dyDescent="0.25">
      <c r="A213" s="27" t="str">
        <f>CONCATENATE('Node Inventory'!A19,"_public_ip")</f>
        <v>open_0_public_ip</v>
      </c>
      <c r="B213" s="74" t="str">
        <f>node_10_public_ip</f>
        <v>100.100.10.152</v>
      </c>
    </row>
    <row r="214" spans="1:2" x14ac:dyDescent="0.25">
      <c r="A214" s="27" t="str">
        <f>CONCATENATE('Node Inventory'!A19,"_public_api_ip")</f>
        <v>open_0_public_api_ip</v>
      </c>
      <c r="B214" s="74" t="str">
        <f>node_10_public_ip</f>
        <v>100.100.10.152</v>
      </c>
    </row>
    <row r="215" spans="1:2" x14ac:dyDescent="0.25">
      <c r="A215" s="27" t="str">
        <f>CONCATENATE('Node Inventory'!A19,"_provisioning_ip")</f>
        <v>open_0_provisioning_ip</v>
      </c>
      <c r="B215" s="74" t="str">
        <f>node_10_provision_ip</f>
        <v>DHCP</v>
      </c>
    </row>
    <row r="216" spans="1:2" x14ac:dyDescent="0.25">
      <c r="A216" s="27" t="str">
        <f>CONCATENATE('Node Inventory'!A19,"_tenant_tunnel_ip")</f>
        <v>open_0_tenant_tunnel_ip</v>
      </c>
      <c r="B216" s="74">
        <f>node_10_tenant_tunnel_ip</f>
        <v>0</v>
      </c>
    </row>
    <row r="217" spans="1:2" x14ac:dyDescent="0.25">
      <c r="A217" s="27" t="str">
        <f>CONCATENATE('Node Inventory'!A19,"_private_api_ip")</f>
        <v>open_0_private_api_ip</v>
      </c>
      <c r="B217" s="74">
        <f>node_10_private_api_ip</f>
        <v>0</v>
      </c>
    </row>
    <row r="218" spans="1:2" x14ac:dyDescent="0.25">
      <c r="A218" s="27" t="str">
        <f>CONCATENATE('Node Inventory'!A19,"_storage_ip")</f>
        <v>open_0_storage_ip</v>
      </c>
      <c r="B218" s="74" t="str">
        <f>node_10_storage_ip</f>
        <v>192.168.170.22</v>
      </c>
    </row>
    <row r="219" spans="1:2" x14ac:dyDescent="0.25">
      <c r="A219" s="27" t="str">
        <f>CONCATENATE('Node Inventory'!A19,"_storage_cluster_ip")</f>
        <v>open_0_storage_cluster_ip</v>
      </c>
      <c r="B219" s="74">
        <f>node_10_storage_cluster_ip</f>
        <v>0</v>
      </c>
    </row>
    <row r="220" spans="1:2" x14ac:dyDescent="0.25">
      <c r="A220" s="27" t="str">
        <f>CONCATENATE('Node Inventory'!A19,"_provisioning_interface")</f>
        <v>open_0_provisioning_interface</v>
      </c>
      <c r="B220" s="74" t="str">
        <f ca="1">OFFSET(NetworkInterfaces[[#Headers],[Provisioner]],3,)</f>
        <v>em3</v>
      </c>
    </row>
    <row r="221" spans="1:2" x14ac:dyDescent="0.25">
      <c r="A221" s="27" t="str">
        <f>CONCATENATE('Node Inventory'!A19,"_bond_0_interface_0")</f>
        <v>open_0_bond_0_interface_0</v>
      </c>
      <c r="B221" s="74" t="str">
        <f ca="1">OFFSET(NetworkInterfaces[[#Headers],[Bond0-NIC1]],3,)</f>
        <v>em1</v>
      </c>
    </row>
    <row r="222" spans="1:2" x14ac:dyDescent="0.25">
      <c r="A222" s="27" t="str">
        <f>CONCATENATE('Node Inventory'!A19,"_bond_0_interface_1")</f>
        <v>open_0_bond_0_interface_1</v>
      </c>
      <c r="B222" s="74" t="str">
        <f ca="1">OFFSET(NetworkInterfaces[[#Headers],[Bond0-NIC2]],3,)</f>
        <v>p2p1</v>
      </c>
    </row>
    <row r="223" spans="1:2" x14ac:dyDescent="0.25">
      <c r="A223" s="27" t="str">
        <f>CONCATENATE('Node Inventory'!A19,"_bond_1_interface_0")</f>
        <v>open_0_bond_1_interface_0</v>
      </c>
      <c r="B223" s="74" t="str">
        <f ca="1">OFFSET(NetworkInterfaces[[#Headers],[Bond1-NIC1]],3,)</f>
        <v>em2</v>
      </c>
    </row>
    <row r="224" spans="1:2" x14ac:dyDescent="0.25">
      <c r="A224" s="27" t="str">
        <f>CONCATENATE('Node Inventory'!A19,"_bond_1_interface_1")</f>
        <v>open_0_bond_1_interface_1</v>
      </c>
      <c r="B224" s="74" t="str">
        <f ca="1">OFFSET(NetworkInterfaces[[#Headers],[Bond1-NIC2]],3,)</f>
        <v>p2p2</v>
      </c>
    </row>
    <row r="225" spans="1:2" x14ac:dyDescent="0.25">
      <c r="A225" s="27" t="str">
        <f>CONCATENATE('Node Inventory'!A19,"_bonding_opts")</f>
        <v>open_0_bonding_opts</v>
      </c>
      <c r="B225" s="74" t="b">
        <f>node_10_bonding_opts</f>
        <v>0</v>
      </c>
    </row>
    <row r="226" spans="1:2" x14ac:dyDescent="0.25">
      <c r="A226" s="27"/>
      <c r="B226" s="74"/>
    </row>
    <row r="227" spans="1:2" x14ac:dyDescent="0.25">
      <c r="A227" s="27" t="str">
        <f>CONCATENATE('Node Inventory'!A20,"_service_tag")</f>
        <v>open_0_service_tag</v>
      </c>
      <c r="B227" s="74" t="str">
        <f>node_11_service_tag</f>
        <v xml:space="preserve"> </v>
      </c>
    </row>
    <row r="228" spans="1:2" x14ac:dyDescent="0.25">
      <c r="A228" s="27" t="str">
        <f>CONCATENATE('Node Inventory'!A20,"_idrac_ip")</f>
        <v>open_0_idrac_ip</v>
      </c>
      <c r="B228" s="74" t="str">
        <f>node_11_idrac_ip</f>
        <v>192.168.110.23</v>
      </c>
    </row>
    <row r="229" spans="1:2" x14ac:dyDescent="0.25">
      <c r="A229" s="27" t="str">
        <f>CONCATENATE('Node Inventory'!A20,"_os_volume_size_gb")</f>
        <v>open_0_os_volume_size_gb</v>
      </c>
      <c r="B229" s="74">
        <f>node_11_os_size</f>
        <v>0</v>
      </c>
    </row>
    <row r="230" spans="1:2" x14ac:dyDescent="0.25">
      <c r="A230" s="27" t="str">
        <f>CONCATENATE('Node Inventory'!A20,"_public_ip")</f>
        <v>open_0_public_ip</v>
      </c>
      <c r="B230" s="74" t="str">
        <f>node_11_public_ip</f>
        <v>100.100.10.153</v>
      </c>
    </row>
    <row r="231" spans="1:2" x14ac:dyDescent="0.25">
      <c r="A231" s="27" t="str">
        <f>CONCATENATE('Node Inventory'!A20,"_public_api_ip")</f>
        <v>open_0_public_api_ip</v>
      </c>
      <c r="B231" s="74" t="str">
        <f>node_11_public_ip</f>
        <v>100.100.10.153</v>
      </c>
    </row>
    <row r="232" spans="1:2" x14ac:dyDescent="0.25">
      <c r="A232" s="27" t="str">
        <f>CONCATENATE('Node Inventory'!A20,"_provisioning_ip")</f>
        <v>open_0_provisioning_ip</v>
      </c>
      <c r="B232" s="74" t="str">
        <f>node_11_provision_ip</f>
        <v>DHCP</v>
      </c>
    </row>
    <row r="233" spans="1:2" x14ac:dyDescent="0.25">
      <c r="A233" s="27" t="str">
        <f>CONCATENATE('Node Inventory'!A20,"_tenant_tunnel_ip")</f>
        <v>open_0_tenant_tunnel_ip</v>
      </c>
      <c r="B233" s="74">
        <f>node_11_tenant_tunnel_ip</f>
        <v>0</v>
      </c>
    </row>
    <row r="234" spans="1:2" x14ac:dyDescent="0.25">
      <c r="A234" s="27" t="str">
        <f>CONCATENATE('Node Inventory'!A20,"_private_api_ip")</f>
        <v>open_0_private_api_ip</v>
      </c>
      <c r="B234" s="74">
        <f>node_11_private_api_ip</f>
        <v>0</v>
      </c>
    </row>
    <row r="235" spans="1:2" x14ac:dyDescent="0.25">
      <c r="A235" s="27" t="str">
        <f>CONCATENATE('Node Inventory'!A20,"_storage_ip")</f>
        <v>open_0_storage_ip</v>
      </c>
      <c r="B235" s="74" t="str">
        <f>node_11_storage_ip</f>
        <v>192.168.170.23</v>
      </c>
    </row>
    <row r="236" spans="1:2" x14ac:dyDescent="0.25">
      <c r="A236" s="27" t="str">
        <f>CONCATENATE('Node Inventory'!A20,"_storage_cluster_ip")</f>
        <v>open_0_storage_cluster_ip</v>
      </c>
      <c r="B236" s="74">
        <f>node_11_storage_cluster_ip</f>
        <v>0</v>
      </c>
    </row>
    <row r="237" spans="1:2" x14ac:dyDescent="0.25">
      <c r="A237" s="27" t="str">
        <f>CONCATENATE('Node Inventory'!A20,"_provisioning_interface")</f>
        <v>open_0_provisioning_interface</v>
      </c>
      <c r="B237" s="74" t="str">
        <f ca="1">OFFSET(NetworkInterfaces[[#Headers],[Provisioner]],3,)</f>
        <v>em3</v>
      </c>
    </row>
    <row r="238" spans="1:2" x14ac:dyDescent="0.25">
      <c r="A238" s="27" t="str">
        <f>CONCATENATE('Node Inventory'!A20,"_bond_0_interface_0")</f>
        <v>open_0_bond_0_interface_0</v>
      </c>
      <c r="B238" s="74" t="str">
        <f ca="1">OFFSET(NetworkInterfaces[[#Headers],[Bond0-NIC1]],3,)</f>
        <v>em1</v>
      </c>
    </row>
    <row r="239" spans="1:2" x14ac:dyDescent="0.25">
      <c r="A239" s="27" t="str">
        <f>CONCATENATE('Node Inventory'!A20,"_bond_0_interface_1")</f>
        <v>open_0_bond_0_interface_1</v>
      </c>
      <c r="B239" s="74" t="str">
        <f ca="1">OFFSET(NetworkInterfaces[[#Headers],[Bond0-NIC2]],3,)</f>
        <v>p2p1</v>
      </c>
    </row>
    <row r="240" spans="1:2" x14ac:dyDescent="0.25">
      <c r="A240" s="27" t="str">
        <f>CONCATENATE('Node Inventory'!A20,"_bond_1_interface_0")</f>
        <v>open_0_bond_1_interface_0</v>
      </c>
      <c r="B240" s="74" t="str">
        <f ca="1">OFFSET(NetworkInterfaces[[#Headers],[Bond1-NIC1]],3,)</f>
        <v>em2</v>
      </c>
    </row>
    <row r="241" spans="1:2" x14ac:dyDescent="0.25">
      <c r="A241" s="27" t="str">
        <f>CONCATENATE('Node Inventory'!A20,"_bond_1_interface_1")</f>
        <v>open_0_bond_1_interface_1</v>
      </c>
      <c r="B241" s="74" t="str">
        <f ca="1">OFFSET(NetworkInterfaces[[#Headers],[Bond1-NIC2]],3,)</f>
        <v>p2p2</v>
      </c>
    </row>
    <row r="242" spans="1:2" x14ac:dyDescent="0.25">
      <c r="A242" s="27" t="str">
        <f>CONCATENATE('Node Inventory'!A20,"_bonding_opts")</f>
        <v>open_0_bonding_opts</v>
      </c>
      <c r="B242" s="74" t="b">
        <f>node_11_bonding_opts</f>
        <v>0</v>
      </c>
    </row>
    <row r="243" spans="1:2" x14ac:dyDescent="0.25">
      <c r="A243" s="27"/>
      <c r="B243" s="74"/>
    </row>
    <row r="244" spans="1:2" x14ac:dyDescent="0.25">
      <c r="A244" s="27" t="str">
        <f>CONCATENATE('Node Inventory'!A21,"_service_tag")</f>
        <v>open_0_service_tag</v>
      </c>
      <c r="B244" s="74" t="str">
        <f>node_12_service_tag</f>
        <v xml:space="preserve"> </v>
      </c>
    </row>
    <row r="245" spans="1:2" x14ac:dyDescent="0.25">
      <c r="A245" s="27" t="str">
        <f>CONCATENATE('Node Inventory'!A21,"_idrac_ip")</f>
        <v>open_0_idrac_ip</v>
      </c>
      <c r="B245" s="74" t="str">
        <f>node_12_idrac_ip</f>
        <v>192.168.110.24</v>
      </c>
    </row>
    <row r="246" spans="1:2" x14ac:dyDescent="0.25">
      <c r="A246" s="27" t="str">
        <f>CONCATENATE('Node Inventory'!A21,"_os_volume_size_gb")</f>
        <v>open_0_os_volume_size_gb</v>
      </c>
      <c r="B246" s="74">
        <f>node_12_os_size</f>
        <v>0</v>
      </c>
    </row>
    <row r="247" spans="1:2" x14ac:dyDescent="0.25">
      <c r="A247" s="27" t="str">
        <f>CONCATENATE('Node Inventory'!A21,"_public_ip")</f>
        <v>open_0_public_ip</v>
      </c>
      <c r="B247" s="74" t="str">
        <f>node_12_public_ip</f>
        <v>100.100.10.154</v>
      </c>
    </row>
    <row r="248" spans="1:2" x14ac:dyDescent="0.25">
      <c r="A248" s="27" t="str">
        <f>CONCATENATE('Node Inventory'!A21,"_public_api_ip")</f>
        <v>open_0_public_api_ip</v>
      </c>
      <c r="B248" s="74" t="str">
        <f>node_12_public_ip</f>
        <v>100.100.10.154</v>
      </c>
    </row>
    <row r="249" spans="1:2" x14ac:dyDescent="0.25">
      <c r="A249" s="27" t="str">
        <f>CONCATENATE('Node Inventory'!A21,"_provisioning_ip")</f>
        <v>open_0_provisioning_ip</v>
      </c>
      <c r="B249" s="74" t="str">
        <f>node_12_provision_ip</f>
        <v>DHCP</v>
      </c>
    </row>
    <row r="250" spans="1:2" x14ac:dyDescent="0.25">
      <c r="A250" s="27" t="str">
        <f>CONCATENATE('Node Inventory'!A21,"_tenant_tunnel_ip")</f>
        <v>open_0_tenant_tunnel_ip</v>
      </c>
      <c r="B250" s="74">
        <f>node_12_tenant_tunnel_ip</f>
        <v>0</v>
      </c>
    </row>
    <row r="251" spans="1:2" x14ac:dyDescent="0.25">
      <c r="A251" s="27" t="str">
        <f>CONCATENATE('Node Inventory'!A21,"_private_api_ip")</f>
        <v>open_0_private_api_ip</v>
      </c>
      <c r="B251" s="74">
        <f>node_12_private_api_ip</f>
        <v>0</v>
      </c>
    </row>
    <row r="252" spans="1:2" x14ac:dyDescent="0.25">
      <c r="A252" s="27" t="str">
        <f>CONCATENATE('Node Inventory'!A21,"_storage_ip")</f>
        <v>open_0_storage_ip</v>
      </c>
      <c r="B252" s="74" t="str">
        <f>node_12_storage_ip</f>
        <v>192.168.170.24</v>
      </c>
    </row>
    <row r="253" spans="1:2" x14ac:dyDescent="0.25">
      <c r="A253" s="27" t="str">
        <f>CONCATENATE('Node Inventory'!A21,"_storage_cluster_ip")</f>
        <v>open_0_storage_cluster_ip</v>
      </c>
      <c r="B253" s="74">
        <f>node_12_storage_cluster_ip</f>
        <v>0</v>
      </c>
    </row>
    <row r="254" spans="1:2" x14ac:dyDescent="0.25">
      <c r="A254" s="27" t="str">
        <f>CONCATENATE('Node Inventory'!A21,"_provisioning_interface")</f>
        <v>open_0_provisioning_interface</v>
      </c>
      <c r="B254" s="74" t="str">
        <f ca="1">OFFSET(NetworkInterfaces[[#Headers],[Provisioner]],3,)</f>
        <v>em3</v>
      </c>
    </row>
    <row r="255" spans="1:2" x14ac:dyDescent="0.25">
      <c r="A255" s="27" t="str">
        <f>CONCATENATE('Node Inventory'!A21,"_bond_0_interface_0")</f>
        <v>open_0_bond_0_interface_0</v>
      </c>
      <c r="B255" s="74" t="str">
        <f ca="1">OFFSET(NetworkInterfaces[[#Headers],[Bond0-NIC1]],3,)</f>
        <v>em1</v>
      </c>
    </row>
    <row r="256" spans="1:2" x14ac:dyDescent="0.25">
      <c r="A256" s="27" t="str">
        <f>CONCATENATE('Node Inventory'!A21,"_bond_0_interface_1")</f>
        <v>open_0_bond_0_interface_1</v>
      </c>
      <c r="B256" s="74" t="str">
        <f ca="1">OFFSET(NetworkInterfaces[[#Headers],[Bond0-NIC2]],3,)</f>
        <v>p2p1</v>
      </c>
    </row>
    <row r="257" spans="1:2" x14ac:dyDescent="0.25">
      <c r="A257" s="27" t="str">
        <f>CONCATENATE('Node Inventory'!A21,"_bond_1_interface_0")</f>
        <v>open_0_bond_1_interface_0</v>
      </c>
      <c r="B257" s="74" t="str">
        <f ca="1">OFFSET(NetworkInterfaces[[#Headers],[Bond1-NIC1]],3,)</f>
        <v>em2</v>
      </c>
    </row>
    <row r="258" spans="1:2" x14ac:dyDescent="0.25">
      <c r="A258" s="27" t="str">
        <f>CONCATENATE('Node Inventory'!A21,"_bond_1_interface_1")</f>
        <v>open_0_bond_1_interface_1</v>
      </c>
      <c r="B258" s="74" t="str">
        <f ca="1">OFFSET(NetworkInterfaces[[#Headers],[Bond1-NIC2]],3,)</f>
        <v>p2p2</v>
      </c>
    </row>
    <row r="259" spans="1:2" x14ac:dyDescent="0.25">
      <c r="A259" s="27" t="str">
        <f>CONCATENATE('Node Inventory'!A21,"_bonding_opts")</f>
        <v>open_0_bonding_opts</v>
      </c>
      <c r="B259" s="74" t="b">
        <f>node_12_bonding_opts</f>
        <v>0</v>
      </c>
    </row>
    <row r="260" spans="1:2" x14ac:dyDescent="0.25">
      <c r="A260" s="27"/>
      <c r="B260" s="74"/>
    </row>
    <row r="261" spans="1:2" x14ac:dyDescent="0.25">
      <c r="A261" s="27" t="str">
        <f>CONCATENATE('Node Inventory'!A22,"_service_tag")</f>
        <v>open_0_service_tag</v>
      </c>
      <c r="B261" s="74" t="str">
        <f>node_13_service_tag</f>
        <v xml:space="preserve"> </v>
      </c>
    </row>
    <row r="262" spans="1:2" x14ac:dyDescent="0.25">
      <c r="A262" s="27" t="str">
        <f>CONCATENATE('Node Inventory'!A22,"_idrac_ip")</f>
        <v>open_0_idrac_ip</v>
      </c>
      <c r="B262" s="74" t="str">
        <f>node_13_idrac_ip</f>
        <v>192.168.110.25</v>
      </c>
    </row>
    <row r="263" spans="1:2" x14ac:dyDescent="0.25">
      <c r="A263" s="27" t="str">
        <f>CONCATENATE('Node Inventory'!A22,"_os_volume_size_gb")</f>
        <v>open_0_os_volume_size_gb</v>
      </c>
      <c r="B263" s="74">
        <f>node_13_os_size</f>
        <v>0</v>
      </c>
    </row>
    <row r="264" spans="1:2" x14ac:dyDescent="0.25">
      <c r="A264" s="27" t="str">
        <f>CONCATENATE('Node Inventory'!A22,"_public_ip")</f>
        <v>open_0_public_ip</v>
      </c>
      <c r="B264" s="74" t="str">
        <f>node_13_public_ip</f>
        <v>100.100.10.155</v>
      </c>
    </row>
    <row r="265" spans="1:2" x14ac:dyDescent="0.25">
      <c r="A265" s="27" t="str">
        <f>CONCATENATE('Node Inventory'!A22,"_public_api_ip")</f>
        <v>open_0_public_api_ip</v>
      </c>
      <c r="B265" s="74" t="str">
        <f>node_13_public_ip</f>
        <v>100.100.10.155</v>
      </c>
    </row>
    <row r="266" spans="1:2" x14ac:dyDescent="0.25">
      <c r="A266" s="27" t="str">
        <f>CONCATENATE('Node Inventory'!A22,"_provisioning_ip")</f>
        <v>open_0_provisioning_ip</v>
      </c>
      <c r="B266" s="74" t="str">
        <f>node_13_provision_ip</f>
        <v>DHCP</v>
      </c>
    </row>
    <row r="267" spans="1:2" x14ac:dyDescent="0.25">
      <c r="A267" s="27" t="str">
        <f>CONCATENATE('Node Inventory'!A22,"_tenant_tunnel_ip")</f>
        <v>open_0_tenant_tunnel_ip</v>
      </c>
      <c r="B267" s="74">
        <f>node_13_tenant_tunnel_ip</f>
        <v>0</v>
      </c>
    </row>
    <row r="268" spans="1:2" x14ac:dyDescent="0.25">
      <c r="A268" s="27" t="str">
        <f>CONCATENATE('Node Inventory'!A22,"_private_api_ip")</f>
        <v>open_0_private_api_ip</v>
      </c>
      <c r="B268" s="74">
        <f>node_13_private_api_ip</f>
        <v>0</v>
      </c>
    </row>
    <row r="269" spans="1:2" x14ac:dyDescent="0.25">
      <c r="A269" s="27" t="str">
        <f>CONCATENATE('Node Inventory'!A22,"_storage_ip")</f>
        <v>open_0_storage_ip</v>
      </c>
      <c r="B269" s="74" t="str">
        <f>node_13_storage_ip</f>
        <v>192.168.170.25</v>
      </c>
    </row>
    <row r="270" spans="1:2" x14ac:dyDescent="0.25">
      <c r="A270" s="27" t="str">
        <f>CONCATENATE('Node Inventory'!A22,"_storage_cluster_ip")</f>
        <v>open_0_storage_cluster_ip</v>
      </c>
      <c r="B270" s="74">
        <f>node_13_storage_cluster_ip</f>
        <v>0</v>
      </c>
    </row>
    <row r="271" spans="1:2" x14ac:dyDescent="0.25">
      <c r="A271" s="27" t="str">
        <f>CONCATENATE('Node Inventory'!A22,"_provisioning_interface")</f>
        <v>open_0_provisioning_interface</v>
      </c>
      <c r="B271" s="74" t="str">
        <f ca="1">OFFSET(NetworkInterfaces[[#Headers],[Provisioner]],3,)</f>
        <v>em3</v>
      </c>
    </row>
    <row r="272" spans="1:2" x14ac:dyDescent="0.25">
      <c r="A272" s="27" t="str">
        <f>CONCATENATE('Node Inventory'!A22,"_bond_0_interface_0")</f>
        <v>open_0_bond_0_interface_0</v>
      </c>
      <c r="B272" s="74" t="str">
        <f ca="1">OFFSET(NetworkInterfaces[[#Headers],[Bond0-NIC1]],3,)</f>
        <v>em1</v>
      </c>
    </row>
    <row r="273" spans="1:2" x14ac:dyDescent="0.25">
      <c r="A273" s="27" t="str">
        <f>CONCATENATE('Node Inventory'!A22,"_bond_0_interface_1")</f>
        <v>open_0_bond_0_interface_1</v>
      </c>
      <c r="B273" s="74" t="str">
        <f ca="1">OFFSET(NetworkInterfaces[[#Headers],[Bond0-NIC2]],3,)</f>
        <v>p2p1</v>
      </c>
    </row>
    <row r="274" spans="1:2" x14ac:dyDescent="0.25">
      <c r="A274" s="27" t="str">
        <f>CONCATENATE('Node Inventory'!A22,"_bond_1_interface_0")</f>
        <v>open_0_bond_1_interface_0</v>
      </c>
      <c r="B274" s="74" t="str">
        <f ca="1">OFFSET(NetworkInterfaces[[#Headers],[Bond1-NIC1]],3,)</f>
        <v>em2</v>
      </c>
    </row>
    <row r="275" spans="1:2" x14ac:dyDescent="0.25">
      <c r="A275" s="27" t="str">
        <f>CONCATENATE('Node Inventory'!A22,"_bond_1_interface_1")</f>
        <v>open_0_bond_1_interface_1</v>
      </c>
      <c r="B275" s="74" t="str">
        <f ca="1">OFFSET(NetworkInterfaces[[#Headers],[Bond1-NIC2]],3,)</f>
        <v>p2p2</v>
      </c>
    </row>
    <row r="276" spans="1:2" x14ac:dyDescent="0.25">
      <c r="A276" s="27" t="str">
        <f>CONCATENATE('Node Inventory'!A22,"_bonding_opts")</f>
        <v>open_0_bonding_opts</v>
      </c>
      <c r="B276" s="74" t="b">
        <f>node_13_bonding_opts</f>
        <v>0</v>
      </c>
    </row>
    <row r="277" spans="1:2" x14ac:dyDescent="0.25">
      <c r="A277" s="27"/>
      <c r="B277" s="74"/>
    </row>
    <row r="278" spans="1:2" x14ac:dyDescent="0.25">
      <c r="A278" s="27" t="str">
        <f>CONCATENATE('Node Inventory'!A23,"_service_tag")</f>
        <v>open_0_service_tag</v>
      </c>
      <c r="B278" s="74" t="str">
        <f>node_14_service_tag</f>
        <v xml:space="preserve"> </v>
      </c>
    </row>
    <row r="279" spans="1:2" x14ac:dyDescent="0.25">
      <c r="A279" s="27" t="str">
        <f>CONCATENATE('Node Inventory'!A23,"_idrac_ip")</f>
        <v>open_0_idrac_ip</v>
      </c>
      <c r="B279" s="74" t="str">
        <f>node_14_idrac_ip</f>
        <v>192.168.110.26</v>
      </c>
    </row>
    <row r="280" spans="1:2" x14ac:dyDescent="0.25">
      <c r="A280" s="27" t="str">
        <f>CONCATENATE('Node Inventory'!A23,"_os_volume_size_gb")</f>
        <v>open_0_os_volume_size_gb</v>
      </c>
      <c r="B280" s="74">
        <f>node_14_os_size</f>
        <v>0</v>
      </c>
    </row>
    <row r="281" spans="1:2" x14ac:dyDescent="0.25">
      <c r="A281" s="27" t="str">
        <f>CONCATENATE('Node Inventory'!A23,"_public_ip")</f>
        <v>open_0_public_ip</v>
      </c>
      <c r="B281" s="74" t="str">
        <f>node_14_public_ip</f>
        <v>100.100.10.156</v>
      </c>
    </row>
    <row r="282" spans="1:2" x14ac:dyDescent="0.25">
      <c r="A282" s="27" t="str">
        <f>CONCATENATE('Node Inventory'!A23,"_public_api_ip")</f>
        <v>open_0_public_api_ip</v>
      </c>
      <c r="B282" s="74" t="str">
        <f>node_14_public_ip</f>
        <v>100.100.10.156</v>
      </c>
    </row>
    <row r="283" spans="1:2" x14ac:dyDescent="0.25">
      <c r="A283" s="27" t="str">
        <f>CONCATENATE('Node Inventory'!A23,"_provisioning_ip")</f>
        <v>open_0_provisioning_ip</v>
      </c>
      <c r="B283" s="74" t="str">
        <f>node_14_provision_ip</f>
        <v>DHCP</v>
      </c>
    </row>
    <row r="284" spans="1:2" x14ac:dyDescent="0.25">
      <c r="A284" s="27" t="str">
        <f>CONCATENATE('Node Inventory'!A23,"_tenant_tunnel_ip")</f>
        <v>open_0_tenant_tunnel_ip</v>
      </c>
      <c r="B284" s="74">
        <f>node_12_tenant_tunnel_ip</f>
        <v>0</v>
      </c>
    </row>
    <row r="285" spans="1:2" x14ac:dyDescent="0.25">
      <c r="A285" s="27" t="str">
        <f>CONCATENATE('Node Inventory'!A23,"_private_api_ip")</f>
        <v>open_0_private_api_ip</v>
      </c>
      <c r="B285" s="74">
        <f>node_12_private_api_ip</f>
        <v>0</v>
      </c>
    </row>
    <row r="286" spans="1:2" x14ac:dyDescent="0.25">
      <c r="A286" s="27" t="str">
        <f>CONCATENATE('Node Inventory'!A23,"_storage_ip")</f>
        <v>open_0_storage_ip</v>
      </c>
      <c r="B286" s="74" t="str">
        <f>node_14_storage_ip</f>
        <v>192.168.170.26</v>
      </c>
    </row>
    <row r="287" spans="1:2" x14ac:dyDescent="0.25">
      <c r="A287" s="27" t="str">
        <f>CONCATENATE('Node Inventory'!A23,"_storage_cluster_ip")</f>
        <v>open_0_storage_cluster_ip</v>
      </c>
      <c r="B287" s="74" t="str">
        <f>node_14_storage_cluster_ip</f>
        <v xml:space="preserve"> </v>
      </c>
    </row>
    <row r="288" spans="1:2" x14ac:dyDescent="0.25">
      <c r="A288" s="27" t="str">
        <f>CONCATENATE('Node Inventory'!A23,"_provisioning_interface")</f>
        <v>open_0_provisioning_interface</v>
      </c>
      <c r="B288" s="74" t="str">
        <f ca="1">OFFSET(NetworkInterfaces[[#Headers],[Provisioner]],4,)</f>
        <v>em3</v>
      </c>
    </row>
    <row r="289" spans="1:2" x14ac:dyDescent="0.25">
      <c r="A289" s="27" t="str">
        <f>CONCATENATE('Node Inventory'!A23,"_bond_0_interface_0")</f>
        <v>open_0_bond_0_interface_0</v>
      </c>
      <c r="B289" s="74" t="str">
        <f ca="1">OFFSET(NetworkInterfaces[[#Headers],[Bond0-NIC1]],4,)</f>
        <v>em1</v>
      </c>
    </row>
    <row r="290" spans="1:2" x14ac:dyDescent="0.25">
      <c r="A290" s="27" t="str">
        <f>CONCATENATE('Node Inventory'!A23,"_bond_0_interface_1")</f>
        <v>open_0_bond_0_interface_1</v>
      </c>
      <c r="B290" s="74" t="str">
        <f ca="1">OFFSET(NetworkInterfaces[[#Headers],[Bond0-NIC2]],4,)</f>
        <v>p1p1</v>
      </c>
    </row>
    <row r="291" spans="1:2" x14ac:dyDescent="0.25">
      <c r="A291" s="27" t="str">
        <f>CONCATENATE('Node Inventory'!A23,"_bond_1_interface_0")</f>
        <v>open_0_bond_1_interface_0</v>
      </c>
      <c r="B291" s="74" t="str">
        <f ca="1">OFFSET(NetworkInterfaces[[#Headers],[Bond1-NIC1]],4,)</f>
        <v>em2</v>
      </c>
    </row>
    <row r="292" spans="1:2" x14ac:dyDescent="0.25">
      <c r="A292" s="27" t="str">
        <f>CONCATENATE('Node Inventory'!A23,"_bond_1_interface_1")</f>
        <v>open_0_bond_1_interface_1</v>
      </c>
      <c r="B292" s="74" t="str">
        <f ca="1">OFFSET(NetworkInterfaces[[#Headers],[Bond1-NIC2]],4,)</f>
        <v>p1p2</v>
      </c>
    </row>
    <row r="293" spans="1:2" x14ac:dyDescent="0.25">
      <c r="A293" s="27" t="str">
        <f>CONCATENATE('Node Inventory'!A23,"_bonding_opts")</f>
        <v>open_0_bonding_opts</v>
      </c>
      <c r="B293" s="74" t="b">
        <f>node_14_bonding_opts</f>
        <v>0</v>
      </c>
    </row>
    <row r="294" spans="1:2" x14ac:dyDescent="0.25">
      <c r="A294" s="27"/>
      <c r="B294" s="74"/>
    </row>
    <row r="295" spans="1:2" x14ac:dyDescent="0.25">
      <c r="A295" s="27" t="str">
        <f>CONCATENATE('Node Inventory'!A24,"_service_tag")</f>
        <v>open_0_service_tag</v>
      </c>
      <c r="B295" s="74" t="str">
        <f>node_15_service_tag</f>
        <v xml:space="preserve"> </v>
      </c>
    </row>
    <row r="296" spans="1:2" x14ac:dyDescent="0.25">
      <c r="A296" s="27" t="str">
        <f>CONCATENATE('Node Inventory'!A24,"_idrac_ip")</f>
        <v>open_0_idrac_ip</v>
      </c>
      <c r="B296" s="74" t="str">
        <f>node_15_idrac_ip</f>
        <v>192.168.110.27</v>
      </c>
    </row>
    <row r="297" spans="1:2" x14ac:dyDescent="0.25">
      <c r="A297" s="27" t="str">
        <f>CONCATENATE('Node Inventory'!A24,"_os_volume_size_gb")</f>
        <v>open_0_os_volume_size_gb</v>
      </c>
      <c r="B297" s="74">
        <f>node_15_os_size</f>
        <v>0</v>
      </c>
    </row>
    <row r="298" spans="1:2" x14ac:dyDescent="0.25">
      <c r="A298" s="27" t="str">
        <f>CONCATENATE('Node Inventory'!A24,"_public_ip")</f>
        <v>open_0_public_ip</v>
      </c>
      <c r="B298" s="74" t="str">
        <f>node_15_public_ip</f>
        <v>100.100.10.157</v>
      </c>
    </row>
    <row r="299" spans="1:2" x14ac:dyDescent="0.25">
      <c r="A299" s="27" t="str">
        <f>CONCATENATE('Node Inventory'!A24,"_public_api_ip")</f>
        <v>open_0_public_api_ip</v>
      </c>
      <c r="B299" s="74" t="str">
        <f>node_15_public_ip</f>
        <v>100.100.10.157</v>
      </c>
    </row>
    <row r="300" spans="1:2" x14ac:dyDescent="0.25">
      <c r="A300" s="27" t="str">
        <f>CONCATENATE('Node Inventory'!A24,"_provisioning_ip")</f>
        <v>open_0_provisioning_ip</v>
      </c>
      <c r="B300" s="74" t="str">
        <f>node_15_provision_ip</f>
        <v>DHCP</v>
      </c>
    </row>
    <row r="301" spans="1:2" x14ac:dyDescent="0.25">
      <c r="A301" s="27" t="str">
        <f>CONCATENATE('Node Inventory'!A24,"_tenant_tunnel_ip")</f>
        <v>open_0_tenant_tunnel_ip</v>
      </c>
      <c r="B301" s="74">
        <f>node_12_tenant_tunnel_ip</f>
        <v>0</v>
      </c>
    </row>
    <row r="302" spans="1:2" x14ac:dyDescent="0.25">
      <c r="A302" s="27" t="str">
        <f>CONCATENATE('Node Inventory'!A24,"_private_api_ip")</f>
        <v>open_0_private_api_ip</v>
      </c>
      <c r="B302" s="74">
        <f>node_12_private_api_ip</f>
        <v>0</v>
      </c>
    </row>
    <row r="303" spans="1:2" x14ac:dyDescent="0.25">
      <c r="A303" s="27" t="str">
        <f>CONCATENATE('Node Inventory'!A24,"_storage_ip")</f>
        <v>open_0_storage_ip</v>
      </c>
      <c r="B303" s="74" t="str">
        <f>node_15_storage_ip</f>
        <v>192.168.170.27</v>
      </c>
    </row>
    <row r="304" spans="1:2" x14ac:dyDescent="0.25">
      <c r="A304" s="27" t="str">
        <f>CONCATENATE('Node Inventory'!A24,"_storage_cluster_ip")</f>
        <v>open_0_storage_cluster_ip</v>
      </c>
      <c r="B304" s="74" t="str">
        <f>node_15_storage_cluster_ip</f>
        <v xml:space="preserve"> </v>
      </c>
    </row>
    <row r="305" spans="1:2" x14ac:dyDescent="0.25">
      <c r="A305" s="27" t="str">
        <f>CONCATENATE('Node Inventory'!A24,"_provisioning_interface")</f>
        <v>open_0_provisioning_interface</v>
      </c>
      <c r="B305" s="74" t="str">
        <f ca="1">OFFSET(NetworkInterfaces[[#Headers],[Provisioner]],4,)</f>
        <v>em3</v>
      </c>
    </row>
    <row r="306" spans="1:2" x14ac:dyDescent="0.25">
      <c r="A306" s="27" t="str">
        <f>CONCATENATE('Node Inventory'!A24,"_bond_0_interface_0")</f>
        <v>open_0_bond_0_interface_0</v>
      </c>
      <c r="B306" s="74" t="str">
        <f ca="1">OFFSET(NetworkInterfaces[[#Headers],[Bond0-NIC1]],4,)</f>
        <v>em1</v>
      </c>
    </row>
    <row r="307" spans="1:2" x14ac:dyDescent="0.25">
      <c r="A307" s="27" t="str">
        <f>CONCATENATE('Node Inventory'!A24,"_bond_0_interface_1")</f>
        <v>open_0_bond_0_interface_1</v>
      </c>
      <c r="B307" s="74" t="str">
        <f ca="1">OFFSET(NetworkInterfaces[[#Headers],[Bond0-NIC2]],4,)</f>
        <v>p1p1</v>
      </c>
    </row>
    <row r="308" spans="1:2" x14ac:dyDescent="0.25">
      <c r="A308" s="27" t="str">
        <f>CONCATENATE('Node Inventory'!A24,"_bond_1_interface_0")</f>
        <v>open_0_bond_1_interface_0</v>
      </c>
      <c r="B308" s="74" t="str">
        <f ca="1">OFFSET(NetworkInterfaces[[#Headers],[Bond1-NIC1]],4,)</f>
        <v>em2</v>
      </c>
    </row>
    <row r="309" spans="1:2" x14ac:dyDescent="0.25">
      <c r="A309" s="27" t="str">
        <f>CONCATENATE('Node Inventory'!A24,"_bond_1_interface_1")</f>
        <v>open_0_bond_1_interface_1</v>
      </c>
      <c r="B309" s="74" t="str">
        <f ca="1">OFFSET(NetworkInterfaces[[#Headers],[Bond1-NIC2]],4,)</f>
        <v>p1p2</v>
      </c>
    </row>
    <row r="310" spans="1:2" x14ac:dyDescent="0.25">
      <c r="A310" s="27" t="str">
        <f>CONCATENATE('Node Inventory'!A24,"_bonding_opts")</f>
        <v>open_0_bonding_opts</v>
      </c>
      <c r="B310" s="74" t="b">
        <f>node_15_bonding_opts</f>
        <v>0</v>
      </c>
    </row>
    <row r="311" spans="1:2" x14ac:dyDescent="0.25">
      <c r="A311" s="27"/>
      <c r="B311" s="74"/>
    </row>
    <row r="312" spans="1:2" x14ac:dyDescent="0.25">
      <c r="A312" s="27" t="str">
        <f>CONCATENATE('Node Inventory'!A25,"_service_tag")</f>
        <v>open_0_service_tag</v>
      </c>
      <c r="B312" s="74" t="str">
        <f>node_16_service_tag</f>
        <v xml:space="preserve"> </v>
      </c>
    </row>
    <row r="313" spans="1:2" x14ac:dyDescent="0.25">
      <c r="A313" s="27" t="str">
        <f>CONCATENATE('Node Inventory'!A25,"_idrac_ip")</f>
        <v>open_0_idrac_ip</v>
      </c>
      <c r="B313" s="74" t="str">
        <f>node_16_idrac_ip</f>
        <v>192.168.110.28</v>
      </c>
    </row>
    <row r="314" spans="1:2" x14ac:dyDescent="0.25">
      <c r="A314" s="27" t="str">
        <f>CONCATENATE('Node Inventory'!A25,"_os_volume_size_gb")</f>
        <v>open_0_os_volume_size_gb</v>
      </c>
      <c r="B314" s="74">
        <f>node_16_os_size</f>
        <v>0</v>
      </c>
    </row>
    <row r="315" spans="1:2" x14ac:dyDescent="0.25">
      <c r="A315" s="27" t="str">
        <f>CONCATENATE('Node Inventory'!A25,"_public_ip")</f>
        <v>open_0_public_ip</v>
      </c>
      <c r="B315" s="74" t="str">
        <f>node_16_public_ip</f>
        <v>100.100.10.158</v>
      </c>
    </row>
    <row r="316" spans="1:2" x14ac:dyDescent="0.25">
      <c r="A316" s="27" t="str">
        <f>CONCATENATE('Node Inventory'!A25,"_public_api_ip")</f>
        <v>open_0_public_api_ip</v>
      </c>
      <c r="B316" s="74" t="str">
        <f>node_16_public_ip</f>
        <v>100.100.10.158</v>
      </c>
    </row>
    <row r="317" spans="1:2" x14ac:dyDescent="0.25">
      <c r="A317" s="27" t="str">
        <f>CONCATENATE('Node Inventory'!A25,"_provisioning_ip")</f>
        <v>open_0_provisioning_ip</v>
      </c>
      <c r="B317" s="74" t="str">
        <f>node_16_provision_ip</f>
        <v>DHCP</v>
      </c>
    </row>
    <row r="318" spans="1:2" x14ac:dyDescent="0.25">
      <c r="A318" s="27" t="str">
        <f>CONCATENATE('Node Inventory'!A25,"_tenant_tunnel_ip")</f>
        <v>open_0_tenant_tunnel_ip</v>
      </c>
      <c r="B318" s="74">
        <f>node_12_tenant_tunnel_ip</f>
        <v>0</v>
      </c>
    </row>
    <row r="319" spans="1:2" x14ac:dyDescent="0.25">
      <c r="A319" s="27" t="str">
        <f>CONCATENATE('Node Inventory'!A25,"_private_api_ip")</f>
        <v>open_0_private_api_ip</v>
      </c>
      <c r="B319" s="74">
        <f>node_12_private_api_ip</f>
        <v>0</v>
      </c>
    </row>
    <row r="320" spans="1:2" x14ac:dyDescent="0.25">
      <c r="A320" s="27" t="str">
        <f>CONCATENATE('Node Inventory'!A25,"_storage_ip")</f>
        <v>open_0_storage_ip</v>
      </c>
      <c r="B320" s="74" t="str">
        <f>node_16_storage_ip</f>
        <v>192.168.170.28</v>
      </c>
    </row>
    <row r="321" spans="1:2" x14ac:dyDescent="0.25">
      <c r="A321" s="27" t="str">
        <f>CONCATENATE('Node Inventory'!A25,"_storage_cluster_ip")</f>
        <v>open_0_storage_cluster_ip</v>
      </c>
      <c r="B321" s="74" t="str">
        <f>node_16_storage_cluster_ip</f>
        <v xml:space="preserve"> </v>
      </c>
    </row>
    <row r="322" spans="1:2" x14ac:dyDescent="0.25">
      <c r="A322" s="27" t="str">
        <f>CONCATENATE('Node Inventory'!A25,"_provisioning_interface")</f>
        <v>open_0_provisioning_interface</v>
      </c>
      <c r="B322" s="74" t="str">
        <f ca="1">OFFSET(NetworkInterfaces[[#Headers],[Provisioner]],4,)</f>
        <v>em3</v>
      </c>
    </row>
    <row r="323" spans="1:2" x14ac:dyDescent="0.25">
      <c r="A323" s="27" t="str">
        <f>CONCATENATE('Node Inventory'!A25,"_bond_0_interface_0")</f>
        <v>open_0_bond_0_interface_0</v>
      </c>
      <c r="B323" s="74" t="str">
        <f ca="1">OFFSET(NetworkInterfaces[[#Headers],[Bond0-NIC1]],4,)</f>
        <v>em1</v>
      </c>
    </row>
    <row r="324" spans="1:2" x14ac:dyDescent="0.25">
      <c r="A324" s="27" t="str">
        <f>CONCATENATE('Node Inventory'!A25,"_bond_0_interface_1")</f>
        <v>open_0_bond_0_interface_1</v>
      </c>
      <c r="B324" s="74" t="str">
        <f ca="1">OFFSET(NetworkInterfaces[[#Headers],[Bond0-NIC2]],4,)</f>
        <v>p1p1</v>
      </c>
    </row>
    <row r="325" spans="1:2" x14ac:dyDescent="0.25">
      <c r="A325" s="27" t="str">
        <f>CONCATENATE('Node Inventory'!A25,"_bond_1_interface_0")</f>
        <v>open_0_bond_1_interface_0</v>
      </c>
      <c r="B325" s="74" t="str">
        <f ca="1">OFFSET(NetworkInterfaces[[#Headers],[Bond1-NIC1]],4,)</f>
        <v>em2</v>
      </c>
    </row>
    <row r="326" spans="1:2" x14ac:dyDescent="0.25">
      <c r="A326" s="27" t="str">
        <f>CONCATENATE('Node Inventory'!A25,"_bond_1_interface_1")</f>
        <v>open_0_bond_1_interface_1</v>
      </c>
      <c r="B326" s="74" t="str">
        <f ca="1">OFFSET(NetworkInterfaces[[#Headers],[Bond1-NIC2]],4,)</f>
        <v>p1p2</v>
      </c>
    </row>
    <row r="327" spans="1:2" x14ac:dyDescent="0.25">
      <c r="A327" s="27" t="str">
        <f>CONCATENATE('Node Inventory'!A25,"_bonding_opts")</f>
        <v>open_0_bonding_opts</v>
      </c>
      <c r="B327" s="74" t="b">
        <f>node_16_bonding_opts</f>
        <v>0</v>
      </c>
    </row>
    <row r="328" spans="1:2" x14ac:dyDescent="0.25">
      <c r="A328" s="27"/>
      <c r="B328" s="74"/>
    </row>
    <row r="329" spans="1:2" x14ac:dyDescent="0.25">
      <c r="A329" s="27" t="str">
        <f>CONCATENATE('Node Inventory'!A26,"_service_tag")</f>
        <v>open_0_service_tag</v>
      </c>
      <c r="B329" s="74" t="str">
        <f>node_17_service_tag</f>
        <v xml:space="preserve"> </v>
      </c>
    </row>
    <row r="330" spans="1:2" x14ac:dyDescent="0.25">
      <c r="A330" s="27" t="str">
        <f>CONCATENATE('Node Inventory'!A26,"_idrac_ip")</f>
        <v>open_0_idrac_ip</v>
      </c>
      <c r="B330" s="74" t="str">
        <f>node_17_idrac_ip</f>
        <v>192.168.110.29</v>
      </c>
    </row>
    <row r="331" spans="1:2" x14ac:dyDescent="0.25">
      <c r="A331" s="27" t="str">
        <f>CONCATENATE('Node Inventory'!A26,"_os_volume_size_gb")</f>
        <v>open_0_os_volume_size_gb</v>
      </c>
      <c r="B331" s="74">
        <f>node_17_os_size</f>
        <v>0</v>
      </c>
    </row>
    <row r="332" spans="1:2" x14ac:dyDescent="0.25">
      <c r="A332" s="27" t="str">
        <f>CONCATENATE('Node Inventory'!A26,"_public_ip")</f>
        <v>open_0_public_ip</v>
      </c>
      <c r="B332" s="74" t="str">
        <f>node_17_public_ip</f>
        <v>100.100.10.159</v>
      </c>
    </row>
    <row r="333" spans="1:2" x14ac:dyDescent="0.25">
      <c r="A333" s="27" t="str">
        <f>CONCATENATE('Node Inventory'!A26,"_public_api_ip")</f>
        <v>open_0_public_api_ip</v>
      </c>
      <c r="B333" s="74" t="str">
        <f>node_17_public_ip</f>
        <v>100.100.10.159</v>
      </c>
    </row>
    <row r="334" spans="1:2" x14ac:dyDescent="0.25">
      <c r="A334" s="27" t="str">
        <f>CONCATENATE('Node Inventory'!A26,"_provisioning_ip")</f>
        <v>open_0_provisioning_ip</v>
      </c>
      <c r="B334" s="74" t="str">
        <f>node_17_provision_ip</f>
        <v>DHCP</v>
      </c>
    </row>
    <row r="335" spans="1:2" x14ac:dyDescent="0.25">
      <c r="A335" s="27" t="str">
        <f>CONCATENATE('Node Inventory'!A26,"_tenant_tunnel_ip")</f>
        <v>open_0_tenant_tunnel_ip</v>
      </c>
      <c r="B335" s="74">
        <f>node_12_tenant_tunnel_ip</f>
        <v>0</v>
      </c>
    </row>
    <row r="336" spans="1:2" x14ac:dyDescent="0.25">
      <c r="A336" s="27" t="str">
        <f>CONCATENATE('Node Inventory'!A26,"_private_api_ip")</f>
        <v>open_0_private_api_ip</v>
      </c>
      <c r="B336" s="74">
        <f>node_12_private_api_ip</f>
        <v>0</v>
      </c>
    </row>
    <row r="337" spans="1:2" x14ac:dyDescent="0.25">
      <c r="A337" s="27" t="str">
        <f>CONCATENATE('Node Inventory'!A26,"_storage_ip")</f>
        <v>open_0_storage_ip</v>
      </c>
      <c r="B337" s="74" t="str">
        <f>node_17_storage_ip</f>
        <v>192.168.170.29</v>
      </c>
    </row>
    <row r="338" spans="1:2" x14ac:dyDescent="0.25">
      <c r="A338" s="27" t="str">
        <f>CONCATENATE('Node Inventory'!A26,"_storage_cluster_ip")</f>
        <v>open_0_storage_cluster_ip</v>
      </c>
      <c r="B338" s="74" t="str">
        <f>node_17_storage_cluster_ip</f>
        <v xml:space="preserve"> </v>
      </c>
    </row>
    <row r="339" spans="1:2" x14ac:dyDescent="0.25">
      <c r="A339" s="27" t="str">
        <f>CONCATENATE('Node Inventory'!A26,"_provisioning_interface")</f>
        <v>open_0_provisioning_interface</v>
      </c>
      <c r="B339" s="74" t="str">
        <f ca="1">OFFSET(NetworkInterfaces[[#Headers],[Provisioner]],4,)</f>
        <v>em3</v>
      </c>
    </row>
    <row r="340" spans="1:2" x14ac:dyDescent="0.25">
      <c r="A340" s="27" t="str">
        <f>CONCATENATE('Node Inventory'!A26,"_bond_0_interface_0")</f>
        <v>open_0_bond_0_interface_0</v>
      </c>
      <c r="B340" s="74" t="str">
        <f ca="1">OFFSET(NetworkInterfaces[[#Headers],[Bond0-NIC1]],4,)</f>
        <v>em1</v>
      </c>
    </row>
    <row r="341" spans="1:2" x14ac:dyDescent="0.25">
      <c r="A341" s="27" t="str">
        <f>CONCATENATE('Node Inventory'!A26,"_bond_0_interface_1")</f>
        <v>open_0_bond_0_interface_1</v>
      </c>
      <c r="B341" s="74" t="str">
        <f ca="1">OFFSET(NetworkInterfaces[[#Headers],[Bond0-NIC2]],4,)</f>
        <v>p1p1</v>
      </c>
    </row>
    <row r="342" spans="1:2" x14ac:dyDescent="0.25">
      <c r="A342" s="27" t="str">
        <f>CONCATENATE('Node Inventory'!A26,"_bond_1_interface_0")</f>
        <v>open_0_bond_1_interface_0</v>
      </c>
      <c r="B342" s="74" t="str">
        <f ca="1">OFFSET(NetworkInterfaces[[#Headers],[Bond1-NIC1]],4,)</f>
        <v>em2</v>
      </c>
    </row>
    <row r="343" spans="1:2" x14ac:dyDescent="0.25">
      <c r="A343" s="27" t="str">
        <f>CONCATENATE('Node Inventory'!A26,"_bond_1_interface_1")</f>
        <v>open_0_bond_1_interface_1</v>
      </c>
      <c r="B343" s="74" t="str">
        <f ca="1">OFFSET(NetworkInterfaces[[#Headers],[Bond1-NIC2]],4,)</f>
        <v>p1p2</v>
      </c>
    </row>
    <row r="344" spans="1:2" x14ac:dyDescent="0.25">
      <c r="A344" s="27" t="str">
        <f>CONCATENATE('Node Inventory'!A26,"_bonding_opts")</f>
        <v>open_0_bonding_opts</v>
      </c>
      <c r="B344" s="74" t="b">
        <f>node_17_bonding_opts</f>
        <v>0</v>
      </c>
    </row>
    <row r="345" spans="1:2" x14ac:dyDescent="0.25">
      <c r="A345" s="27"/>
      <c r="B345" s="74"/>
    </row>
    <row r="346" spans="1:2" x14ac:dyDescent="0.25">
      <c r="A346" s="27" t="str">
        <f>CONCATENATE('Node Inventory'!A27,"_service_tag")</f>
        <v>open_0_service_tag</v>
      </c>
      <c r="B346" s="74" t="str">
        <f>node_18_service_tag</f>
        <v xml:space="preserve"> </v>
      </c>
    </row>
    <row r="347" spans="1:2" x14ac:dyDescent="0.25">
      <c r="A347" s="27" t="str">
        <f>CONCATENATE('Node Inventory'!A27,"_idrac_ip")</f>
        <v>open_0_idrac_ip</v>
      </c>
      <c r="B347" s="74" t="str">
        <f>node_18_idrac_ip</f>
        <v>192.168.110.30</v>
      </c>
    </row>
    <row r="348" spans="1:2" x14ac:dyDescent="0.25">
      <c r="A348" s="27" t="str">
        <f>CONCATENATE('Node Inventory'!A27,"_os_volume_size_gb")</f>
        <v>open_0_os_volume_size_gb</v>
      </c>
      <c r="B348" s="74">
        <f>node_18_os_size</f>
        <v>0</v>
      </c>
    </row>
    <row r="349" spans="1:2" x14ac:dyDescent="0.25">
      <c r="A349" s="27" t="str">
        <f>CONCATENATE('Node Inventory'!A27,"_public_ip")</f>
        <v>open_0_public_ip</v>
      </c>
      <c r="B349" s="74" t="str">
        <f>node_18_public_ip</f>
        <v>100.100.10.160</v>
      </c>
    </row>
    <row r="350" spans="1:2" x14ac:dyDescent="0.25">
      <c r="A350" s="27" t="str">
        <f>CONCATENATE('Node Inventory'!A27,"_public_api_ip")</f>
        <v>open_0_public_api_ip</v>
      </c>
      <c r="B350" s="74" t="str">
        <f>node_18_public_ip</f>
        <v>100.100.10.160</v>
      </c>
    </row>
    <row r="351" spans="1:2" x14ac:dyDescent="0.25">
      <c r="A351" s="27" t="str">
        <f>CONCATENATE('Node Inventory'!A27,"_provisioning_ip")</f>
        <v>open_0_provisioning_ip</v>
      </c>
      <c r="B351" s="74" t="str">
        <f>node_18_provision_ip</f>
        <v>DHCP</v>
      </c>
    </row>
    <row r="352" spans="1:2" x14ac:dyDescent="0.25">
      <c r="A352" s="27" t="str">
        <f>CONCATENATE('Node Inventory'!A27,"_tenant_tunnel_ip")</f>
        <v>open_0_tenant_tunnel_ip</v>
      </c>
      <c r="B352" s="74">
        <f>node_12_tenant_tunnel_ip</f>
        <v>0</v>
      </c>
    </row>
    <row r="353" spans="1:2" x14ac:dyDescent="0.25">
      <c r="A353" s="27" t="str">
        <f>CONCATENATE('Node Inventory'!A27,"_private_api_ip")</f>
        <v>open_0_private_api_ip</v>
      </c>
      <c r="B353" s="74">
        <f>node_12_private_api_ip</f>
        <v>0</v>
      </c>
    </row>
    <row r="354" spans="1:2" x14ac:dyDescent="0.25">
      <c r="A354" s="27" t="str">
        <f>CONCATENATE('Node Inventory'!A27,"_storage_ip")</f>
        <v>open_0_storage_ip</v>
      </c>
      <c r="B354" s="74" t="str">
        <f>node_18_storage_ip</f>
        <v>192.168.170.30</v>
      </c>
    </row>
    <row r="355" spans="1:2" x14ac:dyDescent="0.25">
      <c r="A355" s="27" t="str">
        <f>CONCATENATE('Node Inventory'!A27,"_storage_cluster_ip")</f>
        <v>open_0_storage_cluster_ip</v>
      </c>
      <c r="B355" s="74">
        <f>node_18_storage_cluster_ip</f>
        <v>0</v>
      </c>
    </row>
    <row r="356" spans="1:2" x14ac:dyDescent="0.25">
      <c r="A356" s="27" t="str">
        <f>CONCATENATE('Node Inventory'!A27,"_provisioning_interface")</f>
        <v>open_0_provisioning_interface</v>
      </c>
      <c r="B356" s="74" t="str">
        <f ca="1">OFFSET(NetworkInterfaces[[#Headers],[Provisioner]],4,)</f>
        <v>em3</v>
      </c>
    </row>
    <row r="357" spans="1:2" x14ac:dyDescent="0.25">
      <c r="A357" s="27" t="str">
        <f>CONCATENATE('Node Inventory'!A27,"_bond_0_interface_0")</f>
        <v>open_0_bond_0_interface_0</v>
      </c>
      <c r="B357" s="74" t="str">
        <f ca="1">OFFSET(NetworkInterfaces[[#Headers],[Bond0-NIC1]],4,)</f>
        <v>em1</v>
      </c>
    </row>
    <row r="358" spans="1:2" x14ac:dyDescent="0.25">
      <c r="A358" s="27" t="str">
        <f>CONCATENATE('Node Inventory'!A27,"_bond_0_interface_1")</f>
        <v>open_0_bond_0_interface_1</v>
      </c>
      <c r="B358" s="74" t="str">
        <f ca="1">OFFSET(NetworkInterfaces[[#Headers],[Bond0-NIC2]],4,)</f>
        <v>p1p1</v>
      </c>
    </row>
    <row r="359" spans="1:2" x14ac:dyDescent="0.25">
      <c r="A359" s="27" t="str">
        <f>CONCATENATE('Node Inventory'!A27,"_bond_1_interface_0")</f>
        <v>open_0_bond_1_interface_0</v>
      </c>
      <c r="B359" s="74" t="str">
        <f ca="1">OFFSET(NetworkInterfaces[[#Headers],[Bond1-NIC1]],4,)</f>
        <v>em2</v>
      </c>
    </row>
    <row r="360" spans="1:2" x14ac:dyDescent="0.25">
      <c r="A360" s="27" t="str">
        <f>CONCATENATE('Node Inventory'!A27,"_bond_1_interface_1")</f>
        <v>open_0_bond_1_interface_1</v>
      </c>
      <c r="B360" s="74" t="str">
        <f ca="1">OFFSET(NetworkInterfaces[[#Headers],[Bond1-NIC2]],4,)</f>
        <v>p1p2</v>
      </c>
    </row>
    <row r="361" spans="1:2" x14ac:dyDescent="0.25">
      <c r="A361" s="27" t="str">
        <f>CONCATENATE('Node Inventory'!A27,"_bonding_opts")</f>
        <v>open_0_bonding_opts</v>
      </c>
      <c r="B361" s="74" t="b">
        <f>node_18_bonding_opts</f>
        <v>0</v>
      </c>
    </row>
    <row r="362" spans="1:2" x14ac:dyDescent="0.25">
      <c r="A362" s="27"/>
      <c r="B362" s="74"/>
    </row>
    <row r="363" spans="1:2" x14ac:dyDescent="0.25">
      <c r="A363" s="27" t="str">
        <f>CONCATENATE('Node Inventory'!A28,"_service_tag")</f>
        <v>open_0_service_tag</v>
      </c>
      <c r="B363" s="74" t="str">
        <f>node_19_service_tag</f>
        <v xml:space="preserve"> </v>
      </c>
    </row>
    <row r="364" spans="1:2" x14ac:dyDescent="0.25">
      <c r="A364" s="27" t="str">
        <f>CONCATENATE('Node Inventory'!A28,"_idrac_ip")</f>
        <v>open_0_idrac_ip</v>
      </c>
      <c r="B364" s="74" t="str">
        <f>node_19_idrac_ip</f>
        <v>192.168.110.31</v>
      </c>
    </row>
    <row r="365" spans="1:2" x14ac:dyDescent="0.25">
      <c r="A365" s="27" t="str">
        <f>CONCATENATE('Node Inventory'!A28,"_os_volume_size_gb")</f>
        <v>open_0_os_volume_size_gb</v>
      </c>
      <c r="B365" s="74">
        <f>node_19_os_size</f>
        <v>0</v>
      </c>
    </row>
    <row r="366" spans="1:2" x14ac:dyDescent="0.25">
      <c r="A366" s="27" t="str">
        <f>CONCATENATE('Node Inventory'!A28,"_public_ip")</f>
        <v>open_0_public_ip</v>
      </c>
      <c r="B366" s="74" t="str">
        <f>node_19_public_ip</f>
        <v>100.100.10.161</v>
      </c>
    </row>
    <row r="367" spans="1:2" x14ac:dyDescent="0.25">
      <c r="A367" s="27" t="str">
        <f>CONCATENATE('Node Inventory'!A28,"_public_api_ip")</f>
        <v>open_0_public_api_ip</v>
      </c>
      <c r="B367" s="74" t="str">
        <f>node_19_public_ip</f>
        <v>100.100.10.161</v>
      </c>
    </row>
    <row r="368" spans="1:2" x14ac:dyDescent="0.25">
      <c r="A368" s="27" t="str">
        <f>CONCATENATE('Node Inventory'!A28,"_provisioning_ip")</f>
        <v>open_0_provisioning_ip</v>
      </c>
      <c r="B368" s="74" t="str">
        <f>node_19_provision_ip</f>
        <v>DHCP</v>
      </c>
    </row>
    <row r="369" spans="1:2" x14ac:dyDescent="0.25">
      <c r="A369" s="27" t="str">
        <f>CONCATENATE('Node Inventory'!A28,"_tenant_tunnel_ip")</f>
        <v>open_0_tenant_tunnel_ip</v>
      </c>
      <c r="B369" s="74">
        <f>node_19_tenant_tunnel_ip</f>
        <v>0</v>
      </c>
    </row>
    <row r="370" spans="1:2" x14ac:dyDescent="0.25">
      <c r="A370" s="27" t="str">
        <f>CONCATENATE('Node Inventory'!A28,"_private_api_ip")</f>
        <v>open_0_private_api_ip</v>
      </c>
      <c r="B370" s="74">
        <f>node_19_private_api_ip</f>
        <v>0</v>
      </c>
    </row>
    <row r="371" spans="1:2" x14ac:dyDescent="0.25">
      <c r="A371" s="27" t="str">
        <f>CONCATENATE('Node Inventory'!A28,"_storage_ip")</f>
        <v>open_0_storage_ip</v>
      </c>
      <c r="B371" s="74" t="str">
        <f>node_19_storage_ip</f>
        <v>192.168.170.31</v>
      </c>
    </row>
    <row r="372" spans="1:2" x14ac:dyDescent="0.25">
      <c r="A372" s="27" t="str">
        <f>CONCATENATE('Node Inventory'!A28,"_storage_cluster_ip")</f>
        <v>open_0_storage_cluster_ip</v>
      </c>
      <c r="B372" s="74" t="str">
        <f>node_19_storage_cluster_ip</f>
        <v xml:space="preserve"> </v>
      </c>
    </row>
    <row r="373" spans="1:2" x14ac:dyDescent="0.25">
      <c r="A373" s="27" t="str">
        <f>CONCATENATE('Node Inventory'!A28,"_provisioning_interface")</f>
        <v>open_0_provisioning_interface</v>
      </c>
      <c r="B373" s="74" t="str">
        <f ca="1">OFFSET(NetworkInterfaces[[#Headers],[Provisioner]],4,)</f>
        <v>em3</v>
      </c>
    </row>
    <row r="374" spans="1:2" x14ac:dyDescent="0.25">
      <c r="A374" s="27" t="str">
        <f>CONCATENATE('Node Inventory'!A28,"_bond_0_interface_0")</f>
        <v>open_0_bond_0_interface_0</v>
      </c>
      <c r="B374" s="74" t="str">
        <f ca="1">OFFSET(NetworkInterfaces[[#Headers],[Bond0-NIC1]],4,)</f>
        <v>em1</v>
      </c>
    </row>
    <row r="375" spans="1:2" x14ac:dyDescent="0.25">
      <c r="A375" s="27" t="str">
        <f>CONCATENATE('Node Inventory'!A28,"_bond_0_interface_1")</f>
        <v>open_0_bond_0_interface_1</v>
      </c>
      <c r="B375" s="74" t="str">
        <f ca="1">OFFSET(NetworkInterfaces[[#Headers],[Bond0-NIC2]],4,)</f>
        <v>p1p1</v>
      </c>
    </row>
    <row r="376" spans="1:2" x14ac:dyDescent="0.25">
      <c r="A376" s="27" t="str">
        <f>CONCATENATE('Node Inventory'!A28,"_bond_1_interface_0")</f>
        <v>open_0_bond_1_interface_0</v>
      </c>
      <c r="B376" s="74" t="str">
        <f ca="1">OFFSET(NetworkInterfaces[[#Headers],[Bond1-NIC1]],4,)</f>
        <v>em2</v>
      </c>
    </row>
    <row r="377" spans="1:2" x14ac:dyDescent="0.25">
      <c r="A377" s="27" t="str">
        <f>CONCATENATE('Node Inventory'!A28,"_bond_1_interface_1")</f>
        <v>open_0_bond_1_interface_1</v>
      </c>
      <c r="B377" s="74" t="str">
        <f ca="1">OFFSET(NetworkInterfaces[[#Headers],[Bond1-NIC2]],4,)</f>
        <v>p1p2</v>
      </c>
    </row>
    <row r="378" spans="1:2" x14ac:dyDescent="0.25">
      <c r="A378" s="27" t="str">
        <f>CONCATENATE('Node Inventory'!A28,"_bonding_opts")</f>
        <v>open_0_bonding_opts</v>
      </c>
      <c r="B378" s="74" t="b">
        <f>node_19_bonding_opts</f>
        <v>0</v>
      </c>
    </row>
    <row r="379" spans="1:2" x14ac:dyDescent="0.25">
      <c r="A379" s="27"/>
      <c r="B379" s="74"/>
    </row>
    <row r="380" spans="1:2" x14ac:dyDescent="0.25">
      <c r="A380" s="27" t="s">
        <v>397</v>
      </c>
      <c r="B380" s="74" t="str">
        <f ca="1">OFFSET(NetworkInterfaces[[#Headers],[Provisioner]],2,)</f>
        <v>em3</v>
      </c>
    </row>
    <row r="381" spans="1:2" x14ac:dyDescent="0.25">
      <c r="A381" s="27" t="s">
        <v>398</v>
      </c>
      <c r="B381" s="74" t="str">
        <f ca="1">OFFSET(NetworkInterfaces[[#Headers],[Bond0-NIC1]],2,)</f>
        <v>em1</v>
      </c>
    </row>
    <row r="382" spans="1:2" x14ac:dyDescent="0.25">
      <c r="A382" s="27" t="s">
        <v>399</v>
      </c>
      <c r="B382" s="74" t="str">
        <f ca="1">OFFSET(NetworkInterfaces[[#Headers],[Bond0-NIC2]],2,)</f>
        <v>p2p1</v>
      </c>
    </row>
    <row r="383" spans="1:2" x14ac:dyDescent="0.25">
      <c r="A383" s="27" t="s">
        <v>400</v>
      </c>
      <c r="B383" s="74" t="str">
        <f ca="1">OFFSET(NetworkInterfaces[[#Headers],[Bond1-NIC1]],2,)</f>
        <v>em2</v>
      </c>
    </row>
    <row r="384" spans="1:2" x14ac:dyDescent="0.25">
      <c r="A384" s="27" t="s">
        <v>401</v>
      </c>
      <c r="B384" s="74" t="str">
        <f ca="1">OFFSET(NetworkInterfaces[[#Headers],[Bond1-NIC2]],2,)</f>
        <v>p2p2</v>
      </c>
    </row>
    <row r="385" spans="1:2" x14ac:dyDescent="0.25">
      <c r="A385" s="27" t="s">
        <v>396</v>
      </c>
      <c r="B385" s="74" t="str">
        <f>IF(AND(B54=B71,B71=B88),B88, "False")</f>
        <v>mode=802.3ad miimon=100 xmit_hash_policy=layer3+4 lacp_rate=1</v>
      </c>
    </row>
    <row r="386" spans="1:2" x14ac:dyDescent="0.25">
      <c r="A386" s="27"/>
      <c r="B386" s="74"/>
    </row>
    <row r="387" spans="1:2" x14ac:dyDescent="0.25">
      <c r="A387" s="27" t="s">
        <v>402</v>
      </c>
      <c r="B387" s="74" t="str">
        <f ca="1">OFFSET(NetworkInterfaces[[#Headers],[Provisioner]],3,)</f>
        <v>em3</v>
      </c>
    </row>
    <row r="388" spans="1:2" x14ac:dyDescent="0.25">
      <c r="A388" s="27" t="s">
        <v>403</v>
      </c>
      <c r="B388" s="74" t="str">
        <f ca="1">OFFSET(NetworkInterfaces[[#Headers],[Bond0-NIC1]],3,)</f>
        <v>em1</v>
      </c>
    </row>
    <row r="389" spans="1:2" x14ac:dyDescent="0.25">
      <c r="A389" s="27" t="s">
        <v>404</v>
      </c>
      <c r="B389" s="74" t="str">
        <f ca="1">OFFSET(NetworkInterfaces[[#Headers],[Bond0-NIC2]],3,)</f>
        <v>p2p1</v>
      </c>
    </row>
    <row r="390" spans="1:2" x14ac:dyDescent="0.25">
      <c r="A390" s="27" t="s">
        <v>405</v>
      </c>
      <c r="B390" s="74" t="str">
        <f ca="1">OFFSET(NetworkInterfaces[[#Headers],[Bond1-NIC1]],3,)</f>
        <v>em2</v>
      </c>
    </row>
    <row r="391" spans="1:2" x14ac:dyDescent="0.25">
      <c r="A391" s="27" t="s">
        <v>406</v>
      </c>
      <c r="B391" s="74" t="str">
        <f ca="1">OFFSET(NetworkInterfaces[[#Headers],[Bond1-NIC2]],3,)</f>
        <v>p2p2</v>
      </c>
    </row>
    <row r="392" spans="1:2" x14ac:dyDescent="0.25">
      <c r="A392" s="27" t="s">
        <v>407</v>
      </c>
      <c r="B392" s="74" t="str">
        <f>IF(AND(B106=B123,B123=B140),B140, "False")</f>
        <v>mode=802.3ad miimon=100 xmit_hash_policy=layer3+4 lacp_rate=1</v>
      </c>
    </row>
    <row r="393" spans="1:2" x14ac:dyDescent="0.25">
      <c r="A393" s="27"/>
      <c r="B393" s="74"/>
    </row>
    <row r="394" spans="1:2" x14ac:dyDescent="0.25">
      <c r="A394" s="27" t="s">
        <v>408</v>
      </c>
      <c r="B394" s="74" t="str">
        <f ca="1">OFFSET(NetworkInterfaces[[#Headers],[Provisioner]],4,)</f>
        <v>em3</v>
      </c>
    </row>
    <row r="395" spans="1:2" x14ac:dyDescent="0.25">
      <c r="A395" s="27" t="s">
        <v>409</v>
      </c>
      <c r="B395" s="74" t="str">
        <f ca="1">OFFSET(NetworkInterfaces[[#Headers],[Bond0-NIC1]],4,)</f>
        <v>em1</v>
      </c>
    </row>
    <row r="396" spans="1:2" x14ac:dyDescent="0.25">
      <c r="A396" s="27" t="s">
        <v>410</v>
      </c>
      <c r="B396" s="74" t="str">
        <f ca="1">OFFSET(NetworkInterfaces[[#Headers],[Bond0-NIC2]],4,)</f>
        <v>p1p1</v>
      </c>
    </row>
    <row r="397" spans="1:2" x14ac:dyDescent="0.25">
      <c r="A397" s="27" t="s">
        <v>411</v>
      </c>
      <c r="B397" s="74" t="str">
        <f ca="1">OFFSET(NetworkInterfaces[[#Headers],[Bond1-NIC1]],4,)</f>
        <v>em2</v>
      </c>
    </row>
    <row r="398" spans="1:2" x14ac:dyDescent="0.25">
      <c r="A398" s="27" t="s">
        <v>412</v>
      </c>
      <c r="B398" s="74" t="str">
        <f ca="1">OFFSET(NetworkInterfaces[[#Headers],[Bond1-NIC2]],4,)</f>
        <v>p1p2</v>
      </c>
    </row>
    <row r="399" spans="1:2" x14ac:dyDescent="0.25">
      <c r="A399" s="27" t="s">
        <v>413</v>
      </c>
      <c r="B399" s="74" t="str">
        <f>IF(AND(B157=B174,B174=B191),B140, "False")</f>
        <v>mode=802.3ad miimon=100 xmit_hash_policy=layer3+4 lacp_rate=1</v>
      </c>
    </row>
    <row r="400" spans="1:2" x14ac:dyDescent="0.25">
      <c r="A400" s="27"/>
      <c r="B400" s="74"/>
    </row>
    <row r="401" spans="1:2" x14ac:dyDescent="0.25">
      <c r="A401" s="28" t="s">
        <v>263</v>
      </c>
      <c r="B401" s="74" t="str">
        <f>redis_vip</f>
        <v>192.168.140.251</v>
      </c>
    </row>
    <row r="402" spans="1:2" x14ac:dyDescent="0.25">
      <c r="A402" s="28" t="s">
        <v>264</v>
      </c>
      <c r="B402" s="74" t="str">
        <f>provisioning_vip</f>
        <v>192.168.120.251</v>
      </c>
    </row>
    <row r="403" spans="1:2" x14ac:dyDescent="0.25">
      <c r="A403" s="28" t="s">
        <v>265</v>
      </c>
      <c r="B403" s="74" t="str">
        <f>private_api_vip</f>
        <v>192.168.140.252</v>
      </c>
    </row>
    <row r="404" spans="1:2" x14ac:dyDescent="0.25">
      <c r="A404" s="28" t="s">
        <v>266</v>
      </c>
      <c r="B404" s="74" t="str">
        <f>public_api_vip</f>
        <v>100.100.10.190</v>
      </c>
    </row>
    <row r="405" spans="1:2" x14ac:dyDescent="0.25">
      <c r="A405" s="28" t="s">
        <v>267</v>
      </c>
      <c r="B405" s="74" t="str">
        <f>storage_vip</f>
        <v>192.168.170.251</v>
      </c>
    </row>
    <row r="406" spans="1:2" x14ac:dyDescent="0.25">
      <c r="A406" s="28" t="s">
        <v>268</v>
      </c>
      <c r="B406" s="74" t="str">
        <f>storage_cluster_vip</f>
        <v>192.168.120.252</v>
      </c>
    </row>
    <row r="407" spans="1:2" x14ac:dyDescent="0.25">
      <c r="A407" s="28"/>
      <c r="B407" s="74"/>
    </row>
    <row r="408" spans="1:2" x14ac:dyDescent="0.25">
      <c r="A408" s="28" t="s">
        <v>274</v>
      </c>
      <c r="B408" s="74" t="str">
        <f>subscription_manager_user</f>
        <v>rh_cloud_sol</v>
      </c>
    </row>
    <row r="409" spans="1:2" x14ac:dyDescent="0.25">
      <c r="A409" s="28" t="s">
        <v>275</v>
      </c>
      <c r="B409" s="74" t="str">
        <f>subscription_manager_password</f>
        <v>pass1234</v>
      </c>
    </row>
    <row r="410" spans="1:2" x14ac:dyDescent="0.25">
      <c r="A410" s="28" t="s">
        <v>423</v>
      </c>
      <c r="B410" s="74">
        <f>subscription_check_retries</f>
        <v>20</v>
      </c>
    </row>
    <row r="411" spans="1:2" x14ac:dyDescent="0.25">
      <c r="A411" s="28" t="s">
        <v>276</v>
      </c>
      <c r="B411" s="74" t="str">
        <f>subscription_manager_pool_sah</f>
        <v>8a85f98c6183a108016188e199ed32a2</v>
      </c>
    </row>
    <row r="412" spans="1:2" x14ac:dyDescent="0.25">
      <c r="A412" s="28" t="s">
        <v>277</v>
      </c>
      <c r="B412" s="74" t="str">
        <f>subscription_manager_pool_vm_rhel</f>
        <v>8a85f98c6183a108016188e19b3f32a5</v>
      </c>
    </row>
    <row r="413" spans="1:2" x14ac:dyDescent="0.25">
      <c r="A413" s="28" t="s">
        <v>278</v>
      </c>
      <c r="B413" s="74" t="str">
        <f>subscription_manager_vm_ceph</f>
        <v>8a85f98c6183a108016188e1b6a432a8</v>
      </c>
    </row>
    <row r="414" spans="1:2" x14ac:dyDescent="0.25">
      <c r="A414" s="27"/>
      <c r="B414" s="74"/>
    </row>
    <row r="415" spans="1:2" x14ac:dyDescent="0.25">
      <c r="A415" s="73" t="s">
        <v>308</v>
      </c>
      <c r="B415" s="74" t="str">
        <f>dns_1_ip</f>
        <v>8.8.8.8</v>
      </c>
    </row>
    <row r="416" spans="1:2" x14ac:dyDescent="0.25">
      <c r="A416" s="73" t="s">
        <v>302</v>
      </c>
      <c r="B416" s="74" t="str">
        <f>public_api_network</f>
        <v>100.100.10.128/26</v>
      </c>
    </row>
    <row r="417" spans="1:2" x14ac:dyDescent="0.25">
      <c r="A417" s="73" t="s">
        <v>303</v>
      </c>
      <c r="B417" s="74">
        <f>public_api_vlanid</f>
        <v>393</v>
      </c>
    </row>
    <row r="418" spans="1:2" x14ac:dyDescent="0.25">
      <c r="A418" s="73" t="s">
        <v>304</v>
      </c>
      <c r="B418" s="74" t="str">
        <f>public_api_gateway</f>
        <v>100.100.10.129</v>
      </c>
    </row>
    <row r="419" spans="1:2" x14ac:dyDescent="0.25">
      <c r="A419" s="73" t="s">
        <v>305</v>
      </c>
      <c r="B419" s="74" t="str">
        <f>public_api_netmask</f>
        <v>255.255.255.192</v>
      </c>
    </row>
    <row r="420" spans="1:2" x14ac:dyDescent="0.25">
      <c r="A420" s="73" t="s">
        <v>306</v>
      </c>
      <c r="B420" s="74" t="str">
        <f>public_api_allocation_pool_start</f>
        <v>100.100.10.150</v>
      </c>
    </row>
    <row r="421" spans="1:2" x14ac:dyDescent="0.25">
      <c r="A421" s="73" t="s">
        <v>307</v>
      </c>
      <c r="B421" s="74" t="str">
        <f>public_api_allocation_pool_end</f>
        <v>100.100.10.189</v>
      </c>
    </row>
    <row r="422" spans="1:2" x14ac:dyDescent="0.25">
      <c r="A422" s="73" t="s">
        <v>634</v>
      </c>
      <c r="B422" s="74" t="str">
        <f>sah_public_tag</f>
        <v>Tagged</v>
      </c>
    </row>
    <row r="423" spans="1:2" x14ac:dyDescent="0.25">
      <c r="A423" s="73" t="s">
        <v>635</v>
      </c>
      <c r="B423" s="74" t="str">
        <f>controller_public_tag</f>
        <v>Tagged</v>
      </c>
    </row>
    <row r="424" spans="1:2" x14ac:dyDescent="0.25">
      <c r="A424" s="73" t="s">
        <v>636</v>
      </c>
      <c r="B424" s="74" t="str">
        <f>compute_public_tag</f>
        <v>Not Connected</v>
      </c>
    </row>
    <row r="425" spans="1:2" x14ac:dyDescent="0.25">
      <c r="A425" s="73" t="s">
        <v>637</v>
      </c>
      <c r="B425" s="74" t="str">
        <f>storage_public_tag</f>
        <v>Not Connected</v>
      </c>
    </row>
    <row r="426" spans="1:2" x14ac:dyDescent="0.25">
      <c r="A426" s="73"/>
      <c r="B426" s="74"/>
    </row>
    <row r="427" spans="1:2" x14ac:dyDescent="0.25">
      <c r="A427" s="73" t="s">
        <v>309</v>
      </c>
      <c r="B427" s="74" t="str">
        <f>private_api_network</f>
        <v>192.168.140.0/24</v>
      </c>
    </row>
    <row r="428" spans="1:2" x14ac:dyDescent="0.25">
      <c r="A428" s="73" t="s">
        <v>310</v>
      </c>
      <c r="B428" s="74">
        <f>private_api_vlanid</f>
        <v>140</v>
      </c>
    </row>
    <row r="429" spans="1:2" x14ac:dyDescent="0.25">
      <c r="A429" s="73" t="s">
        <v>311</v>
      </c>
      <c r="B429" s="74" t="str">
        <f>private_api_gateway</f>
        <v>192.168.140.1 (opt)</v>
      </c>
    </row>
    <row r="430" spans="1:2" x14ac:dyDescent="0.25">
      <c r="A430" s="73" t="s">
        <v>312</v>
      </c>
      <c r="B430" s="74" t="str">
        <f>private_api_netmask</f>
        <v>255.255.255.0</v>
      </c>
    </row>
    <row r="431" spans="1:2" x14ac:dyDescent="0.25">
      <c r="A431" s="73" t="s">
        <v>313</v>
      </c>
      <c r="B431" s="74" t="str">
        <f>private_api_allocation_pool_start</f>
        <v>192.168.140.150</v>
      </c>
    </row>
    <row r="432" spans="1:2" x14ac:dyDescent="0.25">
      <c r="A432" s="73" t="s">
        <v>314</v>
      </c>
      <c r="B432" s="74" t="str">
        <f>private_api_allocation_pool_end</f>
        <v>192.168.140.200</v>
      </c>
    </row>
    <row r="433" spans="1:4" x14ac:dyDescent="0.25">
      <c r="A433" s="73" t="s">
        <v>638</v>
      </c>
      <c r="B433" s="74" t="str">
        <f>sah_private_api_tag</f>
        <v>Tagged</v>
      </c>
    </row>
    <row r="434" spans="1:4" x14ac:dyDescent="0.25">
      <c r="A434" s="73" t="s">
        <v>639</v>
      </c>
      <c r="B434" s="74" t="str">
        <f>controller_private_api_tag</f>
        <v>Tagged</v>
      </c>
    </row>
    <row r="435" spans="1:4" x14ac:dyDescent="0.25">
      <c r="A435" s="73" t="s">
        <v>640</v>
      </c>
      <c r="B435" s="74" t="str">
        <f>compute_private_api_tag</f>
        <v>Tagged</v>
      </c>
    </row>
    <row r="436" spans="1:4" x14ac:dyDescent="0.25">
      <c r="A436" s="73" t="s">
        <v>641</v>
      </c>
      <c r="B436" s="74" t="str">
        <f>storage_private_api_tag</f>
        <v>Not Connected</v>
      </c>
    </row>
    <row r="437" spans="1:4" x14ac:dyDescent="0.25">
      <c r="A437" s="73"/>
      <c r="B437" s="74"/>
    </row>
    <row r="438" spans="1:4" x14ac:dyDescent="0.25">
      <c r="A438" s="73" t="s">
        <v>379</v>
      </c>
      <c r="B438" s="74" t="str">
        <f>storage_api_network</f>
        <v>192.168.170.0/24</v>
      </c>
    </row>
    <row r="439" spans="1:4" x14ac:dyDescent="0.25">
      <c r="A439" s="73" t="s">
        <v>380</v>
      </c>
      <c r="B439" s="74">
        <f>storage_api_vlanid</f>
        <v>170</v>
      </c>
    </row>
    <row r="440" spans="1:4" x14ac:dyDescent="0.25">
      <c r="A440" s="73" t="s">
        <v>384</v>
      </c>
      <c r="B440" s="74" t="str">
        <f>storage_api_gateway</f>
        <v>192.168.170.1 (opt)</v>
      </c>
    </row>
    <row r="441" spans="1:4" x14ac:dyDescent="0.25">
      <c r="A441" s="73" t="s">
        <v>383</v>
      </c>
      <c r="B441" s="74" t="str">
        <f>storage_api_netmask</f>
        <v>255.255.255.0</v>
      </c>
    </row>
    <row r="442" spans="1:4" x14ac:dyDescent="0.25">
      <c r="A442" s="73" t="s">
        <v>381</v>
      </c>
      <c r="B442" s="74" t="str">
        <f>storage_api_allocation_pool_start</f>
        <v>192.168.170.150</v>
      </c>
    </row>
    <row r="443" spans="1:4" x14ac:dyDescent="0.25">
      <c r="A443" s="73" t="s">
        <v>382</v>
      </c>
      <c r="B443" s="74" t="str">
        <f>storage_api_allocation_pool_end</f>
        <v>192.168.170.200</v>
      </c>
    </row>
    <row r="444" spans="1:4" x14ac:dyDescent="0.25">
      <c r="A444" s="73" t="s">
        <v>642</v>
      </c>
      <c r="B444" s="74" t="str">
        <f>sah_storage_tag</f>
        <v>Tagged</v>
      </c>
    </row>
    <row r="445" spans="1:4" x14ac:dyDescent="0.25">
      <c r="A445" s="73" t="s">
        <v>643</v>
      </c>
      <c r="B445" s="74" t="str">
        <f>controller_storage_tag</f>
        <v>Tagged</v>
      </c>
    </row>
    <row r="446" spans="1:4" x14ac:dyDescent="0.25">
      <c r="A446" s="73" t="s">
        <v>644</v>
      </c>
      <c r="B446" s="74" t="str">
        <f>compute_storage_tag</f>
        <v>Tagged</v>
      </c>
    </row>
    <row r="447" spans="1:4" x14ac:dyDescent="0.25">
      <c r="A447" s="73" t="s">
        <v>645</v>
      </c>
      <c r="B447" s="74" t="str">
        <f>storage_storage_tag</f>
        <v>Tagged</v>
      </c>
      <c r="D447" s="81"/>
    </row>
    <row r="448" spans="1:4" x14ac:dyDescent="0.25">
      <c r="A448" s="73"/>
      <c r="B448" s="74"/>
      <c r="D448" s="81"/>
    </row>
    <row r="449" spans="1:2" x14ac:dyDescent="0.25">
      <c r="A449" s="73" t="s">
        <v>315</v>
      </c>
      <c r="B449" s="74" t="str">
        <f>provisioning_network</f>
        <v>192.168.120.0/24</v>
      </c>
    </row>
    <row r="450" spans="1:2" x14ac:dyDescent="0.25">
      <c r="A450" s="73" t="s">
        <v>633</v>
      </c>
      <c r="B450" s="74">
        <f>provisioning_vlanid</f>
        <v>120</v>
      </c>
    </row>
    <row r="451" spans="1:2" x14ac:dyDescent="0.25">
      <c r="A451" s="73" t="s">
        <v>316</v>
      </c>
      <c r="B451" s="74" t="str">
        <f>provisioning_gateway</f>
        <v>192.168.120.1</v>
      </c>
    </row>
    <row r="452" spans="1:2" x14ac:dyDescent="0.25">
      <c r="A452" s="73" t="s">
        <v>317</v>
      </c>
      <c r="B452" s="74" t="str">
        <f>provisioning_netmask</f>
        <v>255.255.255.0</v>
      </c>
    </row>
    <row r="453" spans="1:2" x14ac:dyDescent="0.25">
      <c r="A453" s="73" t="s">
        <v>318</v>
      </c>
      <c r="B453" s="74" t="str">
        <f>provisioning_net_dhcp_start</f>
        <v>192.168.120.12</v>
      </c>
    </row>
    <row r="454" spans="1:2" x14ac:dyDescent="0.25">
      <c r="A454" s="73" t="s">
        <v>319</v>
      </c>
      <c r="B454" s="74" t="str">
        <f>provisioning_net_dhcp_end</f>
        <v>192.168.120.50</v>
      </c>
    </row>
    <row r="455" spans="1:2" x14ac:dyDescent="0.25">
      <c r="A455" s="73" t="s">
        <v>325</v>
      </c>
      <c r="B455" s="74" t="str">
        <f>discovery_start</f>
        <v>192.168.120.150</v>
      </c>
    </row>
    <row r="456" spans="1:2" x14ac:dyDescent="0.25">
      <c r="A456" s="73" t="s">
        <v>326</v>
      </c>
      <c r="B456" s="74" t="str">
        <f>discovery_end</f>
        <v>192.168.120.200</v>
      </c>
    </row>
    <row r="457" spans="1:2" x14ac:dyDescent="0.25">
      <c r="A457" s="73" t="s">
        <v>464</v>
      </c>
      <c r="B457" s="74" t="str">
        <f>CONCATENATE(discovery_start,",",discovery_end)</f>
        <v>192.168.120.150,192.168.120.200</v>
      </c>
    </row>
    <row r="458" spans="1:2" x14ac:dyDescent="0.25">
      <c r="A458" s="73" t="s">
        <v>646</v>
      </c>
      <c r="B458" s="74" t="str">
        <f>sah_provision_tag</f>
        <v>Tagged</v>
      </c>
    </row>
    <row r="459" spans="1:2" x14ac:dyDescent="0.25">
      <c r="A459" s="73" t="s">
        <v>647</v>
      </c>
      <c r="B459" s="74" t="str">
        <f>controller_provision_tag</f>
        <v>UnTagged</v>
      </c>
    </row>
    <row r="460" spans="1:2" x14ac:dyDescent="0.25">
      <c r="A460" s="73" t="s">
        <v>648</v>
      </c>
      <c r="B460" s="74" t="str">
        <f>compute_provision_tag</f>
        <v>UnTagged</v>
      </c>
    </row>
    <row r="461" spans="1:2" x14ac:dyDescent="0.25">
      <c r="A461" s="73" t="s">
        <v>649</v>
      </c>
      <c r="B461" s="74" t="str">
        <f>storage_provision_tag</f>
        <v>UnTagged</v>
      </c>
    </row>
    <row r="462" spans="1:2" x14ac:dyDescent="0.25">
      <c r="A462" s="73"/>
      <c r="B462" s="74"/>
    </row>
    <row r="463" spans="1:2" x14ac:dyDescent="0.25">
      <c r="A463" s="73" t="s">
        <v>320</v>
      </c>
      <c r="B463" s="74" t="str">
        <f>storage_cluster_network</f>
        <v>192.168.180.0/24</v>
      </c>
    </row>
    <row r="464" spans="1:2" x14ac:dyDescent="0.25">
      <c r="A464" s="73" t="s">
        <v>321</v>
      </c>
      <c r="B464" s="74">
        <f>storage_cluster_vlanid</f>
        <v>180</v>
      </c>
    </row>
    <row r="465" spans="1:26" x14ac:dyDescent="0.25">
      <c r="A465" s="73" t="s">
        <v>357</v>
      </c>
      <c r="B465" s="74" t="str">
        <f>storage_cluster_gateway</f>
        <v>192.168.180.1 (opt)</v>
      </c>
    </row>
    <row r="466" spans="1:26" x14ac:dyDescent="0.25">
      <c r="A466" s="73" t="s">
        <v>322</v>
      </c>
      <c r="B466" s="74" t="str">
        <f>storage_cluster_netmask</f>
        <v>255.255.255.0</v>
      </c>
    </row>
    <row r="467" spans="1:26" x14ac:dyDescent="0.25">
      <c r="A467" s="73" t="s">
        <v>323</v>
      </c>
      <c r="B467" s="74" t="str">
        <f>storage_cluster_allocation_pool_start</f>
        <v>192.168.180.150</v>
      </c>
    </row>
    <row r="468" spans="1:26" x14ac:dyDescent="0.25">
      <c r="A468" s="73" t="s">
        <v>324</v>
      </c>
      <c r="B468" s="74" t="str">
        <f>storage_cluster_allocation_pool_end</f>
        <v>192.168.180.200</v>
      </c>
    </row>
    <row r="469" spans="1:26" x14ac:dyDescent="0.25">
      <c r="A469" s="73" t="s">
        <v>642</v>
      </c>
      <c r="B469" s="74" t="str">
        <f>sah_storage_tag</f>
        <v>Tagged</v>
      </c>
    </row>
    <row r="470" spans="1:26" x14ac:dyDescent="0.25">
      <c r="A470" s="73" t="s">
        <v>643</v>
      </c>
      <c r="B470" s="74" t="str">
        <f>controller_storage_tag</f>
        <v>Tagged</v>
      </c>
    </row>
    <row r="471" spans="1:26" x14ac:dyDescent="0.25">
      <c r="A471" s="73" t="s">
        <v>644</v>
      </c>
      <c r="B471" s="74" t="str">
        <f>compute_storage_tag</f>
        <v>Tagged</v>
      </c>
    </row>
    <row r="472" spans="1:26" x14ac:dyDescent="0.25">
      <c r="A472" s="73" t="s">
        <v>645</v>
      </c>
      <c r="B472" s="74" t="str">
        <f>storage_storage_tag</f>
        <v>Tagged</v>
      </c>
    </row>
    <row r="473" spans="1:26" x14ac:dyDescent="0.25">
      <c r="A473" s="73"/>
      <c r="B473" s="74"/>
    </row>
    <row r="474" spans="1:26" x14ac:dyDescent="0.25">
      <c r="A474" s="73" t="s">
        <v>327</v>
      </c>
      <c r="B474" s="74" t="str">
        <f>management_network</f>
        <v>192.168.110.0/24</v>
      </c>
    </row>
    <row r="475" spans="1:26" x14ac:dyDescent="0.25">
      <c r="A475" s="73" t="s">
        <v>386</v>
      </c>
      <c r="B475" s="74">
        <f>management_network_vlanid</f>
        <v>110</v>
      </c>
    </row>
    <row r="476" spans="1:26" x14ac:dyDescent="0.25">
      <c r="A476" s="73" t="s">
        <v>387</v>
      </c>
      <c r="B476" s="74" t="str">
        <f>management_network_gateway</f>
        <v>192.168.110.1</v>
      </c>
    </row>
    <row r="477" spans="1:26" x14ac:dyDescent="0.25">
      <c r="A477" s="73" t="s">
        <v>388</v>
      </c>
      <c r="B477" s="74" t="str">
        <f>management_network_netmask</f>
        <v>255.255.255.0</v>
      </c>
      <c r="Z477" s="75" t="s">
        <v>419</v>
      </c>
    </row>
    <row r="478" spans="1:26" x14ac:dyDescent="0.25">
      <c r="A478" s="73" t="s">
        <v>385</v>
      </c>
      <c r="B478" s="74" t="str">
        <f>management_network_allocation_pool_start</f>
        <v>192.168.110.22</v>
      </c>
    </row>
    <row r="479" spans="1:26" x14ac:dyDescent="0.25">
      <c r="A479" s="73" t="s">
        <v>389</v>
      </c>
      <c r="B479" s="74" t="str">
        <f>management_network_allocation_pool_end</f>
        <v>192.168.110.40</v>
      </c>
    </row>
    <row r="480" spans="1:26" x14ac:dyDescent="0.25">
      <c r="A480" s="73" t="s">
        <v>650</v>
      </c>
      <c r="B480" s="74" t="str">
        <f>sah_management_tag</f>
        <v>UnTagged</v>
      </c>
    </row>
    <row r="481" spans="1:5" x14ac:dyDescent="0.25">
      <c r="A481" s="73" t="s">
        <v>651</v>
      </c>
      <c r="B481" s="74" t="str">
        <f>controller_management_tag</f>
        <v>Not Connected</v>
      </c>
    </row>
    <row r="482" spans="1:5" x14ac:dyDescent="0.25">
      <c r="A482" s="73" t="s">
        <v>652</v>
      </c>
      <c r="B482" s="74" t="str">
        <f>compute_management_tag</f>
        <v>Not Connected</v>
      </c>
    </row>
    <row r="483" spans="1:5" x14ac:dyDescent="0.25">
      <c r="A483" s="73" t="s">
        <v>653</v>
      </c>
      <c r="B483" s="74" t="str">
        <f>storage_management_tag</f>
        <v>Not Connected</v>
      </c>
    </row>
    <row r="484" spans="1:5" x14ac:dyDescent="0.25">
      <c r="A484" s="73"/>
      <c r="B484" s="74"/>
    </row>
    <row r="485" spans="1:5" x14ac:dyDescent="0.25">
      <c r="A485" s="73" t="s">
        <v>328</v>
      </c>
      <c r="B485" s="74" t="str">
        <f>tenant_tunnel_network</f>
        <v>192.168.130.0/24</v>
      </c>
    </row>
    <row r="486" spans="1:5" x14ac:dyDescent="0.25">
      <c r="A486" s="73" t="s">
        <v>329</v>
      </c>
      <c r="B486" s="74">
        <f>tenant_tunnel_vlanid</f>
        <v>130</v>
      </c>
    </row>
    <row r="487" spans="1:5" x14ac:dyDescent="0.25">
      <c r="A487" s="73" t="s">
        <v>330</v>
      </c>
      <c r="B487" s="74" t="str">
        <f>tenant_tunnel_gateway</f>
        <v>192.168.130.1</v>
      </c>
    </row>
    <row r="488" spans="1:5" x14ac:dyDescent="0.25">
      <c r="A488" s="73" t="s">
        <v>331</v>
      </c>
      <c r="B488" s="74" t="str">
        <f>tenant_tunnel_netmask</f>
        <v>255.255.255.0</v>
      </c>
    </row>
    <row r="489" spans="1:5" x14ac:dyDescent="0.25">
      <c r="A489" s="73" t="s">
        <v>332</v>
      </c>
      <c r="B489" s="74" t="str">
        <f>tenant_tunnel_allocation_pool_start</f>
        <v>192.168.130.150</v>
      </c>
    </row>
    <row r="490" spans="1:5" x14ac:dyDescent="0.25">
      <c r="A490" s="73" t="s">
        <v>333</v>
      </c>
      <c r="B490" s="74" t="str">
        <f>tenant_tunnel_allocation_pool_end</f>
        <v>192.168.130.200</v>
      </c>
    </row>
    <row r="491" spans="1:5" x14ac:dyDescent="0.25">
      <c r="A491" s="73" t="s">
        <v>654</v>
      </c>
      <c r="B491" s="74" t="str">
        <f>sah_external_tenant_tag</f>
        <v>Tagged</v>
      </c>
    </row>
    <row r="492" spans="1:5" x14ac:dyDescent="0.25">
      <c r="A492" s="73" t="s">
        <v>655</v>
      </c>
      <c r="B492" s="74" t="str">
        <f>controller_external_tenant_tag</f>
        <v>Tagged</v>
      </c>
    </row>
    <row r="493" spans="1:5" x14ac:dyDescent="0.25">
      <c r="A493" s="73" t="s">
        <v>656</v>
      </c>
      <c r="B493" s="74" t="str">
        <f>compute_external_tenant_tag</f>
        <v>Not Connected</v>
      </c>
      <c r="E493" s="75"/>
    </row>
    <row r="494" spans="1:5" x14ac:dyDescent="0.25">
      <c r="A494" s="73" t="s">
        <v>657</v>
      </c>
      <c r="B494" s="74" t="str">
        <f>storage_external_tenant_tag</f>
        <v>Not Connected</v>
      </c>
    </row>
    <row r="495" spans="1:5" x14ac:dyDescent="0.25">
      <c r="A495" s="73"/>
      <c r="B495" s="74"/>
    </row>
    <row r="496" spans="1:5" x14ac:dyDescent="0.25">
      <c r="A496" s="73" t="s">
        <v>374</v>
      </c>
      <c r="B496" s="74" t="str">
        <f>floating_ip_network</f>
        <v>100.100.10.192/26</v>
      </c>
    </row>
    <row r="497" spans="1:2" x14ac:dyDescent="0.25">
      <c r="A497" s="73" t="s">
        <v>390</v>
      </c>
      <c r="B497" s="74">
        <f>floating_ip_vlanid</f>
        <v>394</v>
      </c>
    </row>
    <row r="498" spans="1:2" x14ac:dyDescent="0.25">
      <c r="A498" s="73" t="s">
        <v>375</v>
      </c>
      <c r="B498" s="74" t="str">
        <f>floating_ip_gateway</f>
        <v>100.100.10.193</v>
      </c>
    </row>
    <row r="499" spans="1:2" x14ac:dyDescent="0.25">
      <c r="A499" s="73" t="s">
        <v>376</v>
      </c>
      <c r="B499" s="74" t="str">
        <f>floating_ip_netmask</f>
        <v>255.255.255.192</v>
      </c>
    </row>
    <row r="500" spans="1:2" x14ac:dyDescent="0.25">
      <c r="A500" s="73" t="s">
        <v>391</v>
      </c>
      <c r="B500" s="74" t="str">
        <f>floating_ip_allocation_pool_start</f>
        <v>100.100.10.200</v>
      </c>
    </row>
    <row r="501" spans="1:2" x14ac:dyDescent="0.25">
      <c r="A501" s="73" t="s">
        <v>392</v>
      </c>
      <c r="B501" s="74" t="str">
        <f>floating_ip_allocation_pool_end</f>
        <v>100.100.10.250</v>
      </c>
    </row>
    <row r="502" spans="1:2" x14ac:dyDescent="0.25">
      <c r="A502" s="73" t="s">
        <v>660</v>
      </c>
      <c r="B502" s="74" t="str">
        <f>sah_internal_tenant_tag</f>
        <v>Not Connected</v>
      </c>
    </row>
    <row r="503" spans="1:2" x14ac:dyDescent="0.25">
      <c r="A503" s="73" t="s">
        <v>658</v>
      </c>
      <c r="B503" s="74" t="str">
        <f>controller_internal_tenant_tag</f>
        <v>Tagged</v>
      </c>
    </row>
    <row r="504" spans="1:2" x14ac:dyDescent="0.25">
      <c r="A504" s="73" t="s">
        <v>659</v>
      </c>
      <c r="B504" s="74" t="str">
        <f>compute_internal_tenant_tag</f>
        <v>Tagged</v>
      </c>
    </row>
    <row r="505" spans="1:2" x14ac:dyDescent="0.25">
      <c r="A505" s="73" t="s">
        <v>661</v>
      </c>
      <c r="B505" s="74" t="str">
        <f>storage_internal_tenant_tag</f>
        <v>Not Connected</v>
      </c>
    </row>
    <row r="506" spans="1:2" x14ac:dyDescent="0.25">
      <c r="A506" s="73"/>
      <c r="B506" s="74"/>
    </row>
    <row r="507" spans="1:2" x14ac:dyDescent="0.25">
      <c r="A507" s="73" t="s">
        <v>334</v>
      </c>
      <c r="B507" s="74" t="str">
        <f>LEFT('Network Information'!K5,FIND("-",'Network Information'!K5)-1)</f>
        <v>201</v>
      </c>
    </row>
    <row r="508" spans="1:2" x14ac:dyDescent="0.25">
      <c r="A508" s="73" t="s">
        <v>335</v>
      </c>
      <c r="B508" s="74" t="str">
        <f>RIGHT('Network Information'!K5,FIND("-",'Network Information'!K5)-1)</f>
        <v>250</v>
      </c>
    </row>
    <row r="509" spans="1:2" x14ac:dyDescent="0.25">
      <c r="A509" s="27"/>
      <c r="B509" s="74"/>
    </row>
    <row r="510" spans="1:2" x14ac:dyDescent="0.25">
      <c r="A510" s="27" t="s">
        <v>377</v>
      </c>
      <c r="B510" s="74" t="str">
        <f>'Dell Networking S3048'!M52</f>
        <v>em4</v>
      </c>
    </row>
    <row r="511" spans="1:2" x14ac:dyDescent="0.25">
      <c r="A511" s="27" t="s">
        <v>378</v>
      </c>
      <c r="B511" s="74" t="str">
        <f>anaconda_ip</f>
        <v>100.100.10.145</v>
      </c>
    </row>
    <row r="512" spans="1:2" x14ac:dyDescent="0.25">
      <c r="A512" s="27"/>
      <c r="B512" s="74"/>
    </row>
    <row r="513" spans="1:2" x14ac:dyDescent="0.25">
      <c r="A513" s="27" t="s">
        <v>394</v>
      </c>
      <c r="B513" s="74" t="str">
        <f>Overcloud_Name</f>
        <v>rack01</v>
      </c>
    </row>
    <row r="514" spans="1:2" x14ac:dyDescent="0.25">
      <c r="A514" s="27" t="s">
        <v>465</v>
      </c>
      <c r="B514" s="74" t="str">
        <f>IF(overcloud_nodes_pwd=0,"",overcloud_nodes_pwd)</f>
        <v>pass1234</v>
      </c>
    </row>
    <row r="515" spans="1:2" x14ac:dyDescent="0.25">
      <c r="A515" s="27" t="s">
        <v>395</v>
      </c>
      <c r="B515" s="74" t="str">
        <f>domain_name</f>
        <v>cloud.labs</v>
      </c>
    </row>
    <row r="516" spans="1:2" x14ac:dyDescent="0.25">
      <c r="A516" s="27" t="s">
        <v>418</v>
      </c>
      <c r="B516" s="74" t="str">
        <f>system_timezone</f>
        <v>America/Chicago</v>
      </c>
    </row>
    <row r="517" spans="1:2" x14ac:dyDescent="0.25">
      <c r="A517" s="27" t="s">
        <v>420</v>
      </c>
      <c r="B517" s="74" t="str">
        <f>IF((NTP_server_1_ip&lt;&gt;""),NTP_server_1_ip,"")</f>
        <v>0.centos.pool.ntp.org</v>
      </c>
    </row>
    <row r="518" spans="1:2" x14ac:dyDescent="0.25">
      <c r="A518" s="27" t="s">
        <v>421</v>
      </c>
      <c r="B518" s="74" t="str">
        <f>IF((NTP_server_2_ip&lt;&gt;""),NTP_server_2_ip,"")</f>
        <v>1.centos.pool.ntp.org</v>
      </c>
    </row>
    <row r="519" spans="1:2" x14ac:dyDescent="0.25">
      <c r="A519" s="27" t="s">
        <v>422</v>
      </c>
      <c r="B519" s="74" t="str">
        <f>IF((NTP_server_3_ip&lt;&gt;""),NTP_server_3_ip,"")</f>
        <v>2.centos.pool.ntp.org</v>
      </c>
    </row>
    <row r="520" spans="1:2" x14ac:dyDescent="0.25">
      <c r="A520" s="27" t="s">
        <v>426</v>
      </c>
      <c r="B520" s="74" t="str">
        <f>ipmi_user</f>
        <v>root</v>
      </c>
    </row>
    <row r="521" spans="1:2" x14ac:dyDescent="0.25">
      <c r="A521" s="27" t="s">
        <v>427</v>
      </c>
      <c r="B521" s="74" t="str">
        <f>ipmi_password</f>
        <v>pass1234</v>
      </c>
    </row>
    <row r="522" spans="1:2" x14ac:dyDescent="0.25">
      <c r="A522" s="27" t="s">
        <v>429</v>
      </c>
      <c r="B522" s="74" t="str">
        <f>IF(new_ipmi_password=0,"",new_ipmi_password)</f>
        <v/>
      </c>
    </row>
    <row r="523" spans="1:2" x14ac:dyDescent="0.25">
      <c r="A523" s="27"/>
      <c r="B523" s="74"/>
    </row>
    <row r="524" spans="1:2" x14ac:dyDescent="0.25">
      <c r="A524" s="258" t="s">
        <v>432</v>
      </c>
      <c r="B524" s="74" t="str">
        <f>cluster_nodes_configuration_file</f>
        <v>/root/rack01.properties</v>
      </c>
    </row>
    <row r="525" spans="1:2" x14ac:dyDescent="0.25">
      <c r="A525" s="258" t="s">
        <v>433</v>
      </c>
      <c r="B525" s="74" t="str">
        <f>director_install_user</f>
        <v>stack</v>
      </c>
    </row>
    <row r="526" spans="1:2" x14ac:dyDescent="0.25">
      <c r="A526" s="258" t="s">
        <v>434</v>
      </c>
      <c r="B526" s="259" t="str">
        <f>director_install_user_password</f>
        <v>pass1234</v>
      </c>
    </row>
    <row r="527" spans="1:2" x14ac:dyDescent="0.25">
      <c r="A527" s="258" t="s">
        <v>435</v>
      </c>
      <c r="B527" s="259" t="str">
        <f>LOWER(overcloud_static_ips)</f>
        <v>true</v>
      </c>
    </row>
    <row r="528" spans="1:2" x14ac:dyDescent="0.25">
      <c r="A528" s="258" t="s">
        <v>436</v>
      </c>
      <c r="B528" s="259" t="str">
        <f>LOWER(enable_rbd_backend)</f>
        <v>true</v>
      </c>
    </row>
    <row r="529" spans="1:2" x14ac:dyDescent="0.25">
      <c r="A529" s="258" t="s">
        <v>437</v>
      </c>
      <c r="B529" s="259" t="str">
        <f>LOWER(enable_fencing)</f>
        <v>true</v>
      </c>
    </row>
    <row r="530" spans="1:2" x14ac:dyDescent="0.25">
      <c r="A530" s="258" t="s">
        <v>439</v>
      </c>
      <c r="B530" s="259" t="str">
        <f>LOWER(enable_instance_ha)</f>
        <v>false</v>
      </c>
    </row>
    <row r="531" spans="1:2" x14ac:dyDescent="0.25">
      <c r="A531" s="258" t="s">
        <v>438</v>
      </c>
      <c r="B531" s="259" t="str">
        <f>LOWER(run_sanity)</f>
        <v>false</v>
      </c>
    </row>
    <row r="532" spans="1:2" x14ac:dyDescent="0.25">
      <c r="A532" s="258" t="s">
        <v>440</v>
      </c>
      <c r="B532" s="259" t="str">
        <f>LOWER(tempest_smoke_only)</f>
        <v>true</v>
      </c>
    </row>
    <row r="533" spans="1:2" x14ac:dyDescent="0.25">
      <c r="A533" s="27"/>
      <c r="B533" s="74"/>
    </row>
    <row r="534" spans="1:2" x14ac:dyDescent="0.25">
      <c r="A534" s="258" t="s">
        <v>463</v>
      </c>
      <c r="B534" s="259" t="str">
        <f>LOWER(hpg_enable)</f>
        <v>false</v>
      </c>
    </row>
    <row r="535" spans="1:2" x14ac:dyDescent="0.25">
      <c r="A535" s="258" t="s">
        <v>462</v>
      </c>
      <c r="B535" s="259" t="str">
        <f>hpg_size</f>
        <v>2MB</v>
      </c>
    </row>
    <row r="536" spans="1:2" x14ac:dyDescent="0.25">
      <c r="A536" s="258" t="s">
        <v>445</v>
      </c>
      <c r="B536" s="259" t="str">
        <f>hpg_flavor_name_list</f>
        <v>m1.small,m1.xlarge,m1.hpg,m1.large</v>
      </c>
    </row>
    <row r="537" spans="1:2" x14ac:dyDescent="0.25">
      <c r="A537" s="258" t="s">
        <v>446</v>
      </c>
      <c r="B537" s="259" t="str">
        <f>LOWER(numa_enable)</f>
        <v>false</v>
      </c>
    </row>
    <row r="538" spans="1:2" x14ac:dyDescent="0.25">
      <c r="A538" s="258" t="s">
        <v>447</v>
      </c>
      <c r="B538" s="259" t="str">
        <f>numa_hostos_cpus</f>
        <v>0,1,2,3,4,5,6,7</v>
      </c>
    </row>
    <row r="539" spans="1:2" x14ac:dyDescent="0.25">
      <c r="A539" s="260" t="s">
        <v>444</v>
      </c>
      <c r="B539" s="261" t="str">
        <f>numa_flavor_name_list</f>
        <v>m1.large,m1.numa</v>
      </c>
    </row>
    <row r="540" spans="1:2" x14ac:dyDescent="0.25">
      <c r="A540" s="27"/>
      <c r="B540" s="74"/>
    </row>
    <row r="541" spans="1:2" x14ac:dyDescent="0.25">
      <c r="A541" s="258" t="s">
        <v>451</v>
      </c>
      <c r="B541" s="259" t="str">
        <f>LOWER(enable_dellsc_backend)</f>
        <v>false</v>
      </c>
    </row>
    <row r="542" spans="1:2" x14ac:dyDescent="0.25">
      <c r="A542" s="258" t="s">
        <v>452</v>
      </c>
      <c r="B542" s="259" t="str">
        <f>IF(dellsc_backend_name=0,"",dellsc_backend_name)</f>
        <v/>
      </c>
    </row>
    <row r="543" spans="1:2" x14ac:dyDescent="0.25">
      <c r="A543" s="258" t="s">
        <v>453</v>
      </c>
      <c r="B543" s="259">
        <f>dellsc_api_port</f>
        <v>3033</v>
      </c>
    </row>
    <row r="544" spans="1:2" x14ac:dyDescent="0.25">
      <c r="A544" s="258" t="s">
        <v>454</v>
      </c>
      <c r="B544" s="259" t="str">
        <f>IF(dellsc_iscsi_ip_address=0,"",dellsc_iscsi_ip_address)</f>
        <v/>
      </c>
    </row>
    <row r="545" spans="1:2" x14ac:dyDescent="0.25">
      <c r="A545" s="258" t="s">
        <v>455</v>
      </c>
      <c r="B545" s="259">
        <f>dellsc_iscsi_port</f>
        <v>3260</v>
      </c>
    </row>
    <row r="546" spans="1:2" x14ac:dyDescent="0.25">
      <c r="A546" s="260" t="s">
        <v>456</v>
      </c>
      <c r="B546" s="261" t="str">
        <f>IF(dellsc_san_ip=0,"",dellsc_san_ip)</f>
        <v/>
      </c>
    </row>
    <row r="547" spans="1:2" x14ac:dyDescent="0.25">
      <c r="A547" s="260" t="s">
        <v>457</v>
      </c>
      <c r="B547" s="261" t="str">
        <f>IF(dellsc_san_login=0,"",dellsc_san_login)</f>
        <v/>
      </c>
    </row>
    <row r="548" spans="1:2" x14ac:dyDescent="0.25">
      <c r="A548" s="258" t="s">
        <v>458</v>
      </c>
      <c r="B548" s="259" t="str">
        <f>IF(dellsc_san_password=0,"",dellsc_san_password)</f>
        <v/>
      </c>
    </row>
    <row r="549" spans="1:2" x14ac:dyDescent="0.25">
      <c r="A549" s="258" t="s">
        <v>461</v>
      </c>
      <c r="B549" s="259" t="str">
        <f>IF(dellsc_ssn=0,"",dellsc_ssn)</f>
        <v/>
      </c>
    </row>
    <row r="550" spans="1:2" x14ac:dyDescent="0.25">
      <c r="A550" s="258" t="s">
        <v>459</v>
      </c>
      <c r="B550" s="259" t="str">
        <f>dellsc_server_folder</f>
        <v>cmpl_iscsi_servers</v>
      </c>
    </row>
    <row r="551" spans="1:2" x14ac:dyDescent="0.25">
      <c r="A551" s="258" t="s">
        <v>460</v>
      </c>
      <c r="B551" s="259" t="str">
        <f>dellsc_volume_folder</f>
        <v>cmpl_iscsi_volumes</v>
      </c>
    </row>
    <row r="552" spans="1:2" x14ac:dyDescent="0.25">
      <c r="A552" s="27"/>
      <c r="B552" s="74"/>
    </row>
    <row r="553" spans="1:2" x14ac:dyDescent="0.25">
      <c r="A553" s="258" t="s">
        <v>594</v>
      </c>
      <c r="B553" s="74" t="str">
        <f>switch_0_model_type</f>
        <v>Force 10 - S3048</v>
      </c>
    </row>
    <row r="554" spans="1:2" x14ac:dyDescent="0.25">
      <c r="A554" s="258" t="s">
        <v>585</v>
      </c>
      <c r="B554" s="74" t="str">
        <f>switch_0_hostname</f>
        <v>F10-S3048</v>
      </c>
    </row>
    <row r="555" spans="1:2" x14ac:dyDescent="0.25">
      <c r="A555" s="258" t="s">
        <v>589</v>
      </c>
      <c r="B555" s="74" t="str">
        <f>switch_0_service_tag</f>
        <v>7CZRG02</v>
      </c>
    </row>
    <row r="556" spans="1:2" x14ac:dyDescent="0.25">
      <c r="A556" s="258" t="s">
        <v>590</v>
      </c>
      <c r="B556" s="74" t="str">
        <f>switch_0_speed</f>
        <v>1GB</v>
      </c>
    </row>
    <row r="557" spans="1:2" x14ac:dyDescent="0.25">
      <c r="A557" s="258" t="s">
        <v>586</v>
      </c>
      <c r="B557" s="74" t="str">
        <f>switch_0_username</f>
        <v>admin</v>
      </c>
    </row>
    <row r="558" spans="1:2" x14ac:dyDescent="0.25">
      <c r="A558" s="258" t="s">
        <v>587</v>
      </c>
      <c r="B558" s="74" t="str">
        <f>switch_0_password</f>
        <v>pass1234</v>
      </c>
    </row>
    <row r="559" spans="1:2" x14ac:dyDescent="0.25">
      <c r="A559" s="258" t="s">
        <v>588</v>
      </c>
      <c r="B559" s="74" t="str">
        <f>switch_0_ip_address</f>
        <v>100.100.20.19</v>
      </c>
    </row>
    <row r="560" spans="1:2" x14ac:dyDescent="0.25">
      <c r="A560" s="258" t="s">
        <v>595</v>
      </c>
      <c r="B560" s="74">
        <f>-switch_0_stacking</f>
        <v>0</v>
      </c>
    </row>
    <row r="561" spans="1:2" x14ac:dyDescent="0.25">
      <c r="A561" s="258" t="s">
        <v>597</v>
      </c>
      <c r="B561" s="74" t="str">
        <f>switch_0_stp_mode</f>
        <v>RSTP</v>
      </c>
    </row>
    <row r="562" spans="1:2" x14ac:dyDescent="0.25">
      <c r="A562" s="258" t="s">
        <v>596</v>
      </c>
      <c r="B562" s="74">
        <f>switch_0_stp_root</f>
        <v>0</v>
      </c>
    </row>
    <row r="563" spans="1:2" x14ac:dyDescent="0.25">
      <c r="A563" s="258" t="s">
        <v>598</v>
      </c>
      <c r="B563" s="74">
        <f>switch_0_stp_bridge_priority</f>
        <v>16384</v>
      </c>
    </row>
    <row r="564" spans="1:2" x14ac:dyDescent="0.25">
      <c r="A564" s="258" t="s">
        <v>599</v>
      </c>
      <c r="B564" s="74">
        <f>switch_0_stacking</f>
        <v>0</v>
      </c>
    </row>
    <row r="565" spans="1:2" x14ac:dyDescent="0.25">
      <c r="A565" s="258" t="s">
        <v>600</v>
      </c>
      <c r="B565" s="74">
        <f>switch_0_vlt_domain_num</f>
        <v>1</v>
      </c>
    </row>
    <row r="566" spans="1:2" x14ac:dyDescent="0.25">
      <c r="A566" s="258" t="s">
        <v>601</v>
      </c>
      <c r="B566" s="74">
        <f>switch_0_vlt_unit_id</f>
        <v>0</v>
      </c>
    </row>
    <row r="567" spans="1:2" x14ac:dyDescent="0.25">
      <c r="A567" s="258" t="s">
        <v>602</v>
      </c>
      <c r="B567" s="74">
        <f>switch_0_vlt_priority</f>
        <v>1</v>
      </c>
    </row>
    <row r="568" spans="1:2" x14ac:dyDescent="0.25">
      <c r="A568" s="258"/>
      <c r="B568" s="74"/>
    </row>
    <row r="569" spans="1:2" x14ac:dyDescent="0.25">
      <c r="A569" s="258" t="s">
        <v>603</v>
      </c>
      <c r="B569" s="74" t="str">
        <f>switch_1_model_type</f>
        <v>Force 10 - S4048</v>
      </c>
    </row>
    <row r="570" spans="1:2" x14ac:dyDescent="0.25">
      <c r="A570" s="258" t="s">
        <v>604</v>
      </c>
      <c r="B570" s="74" t="str">
        <f>switch_1_hostname</f>
        <v>F10-S4048-1</v>
      </c>
    </row>
    <row r="571" spans="1:2" x14ac:dyDescent="0.25">
      <c r="A571" s="258" t="s">
        <v>605</v>
      </c>
      <c r="B571" s="74" t="str">
        <f>switch_1_service_tag</f>
        <v>2BH6XC2</v>
      </c>
    </row>
    <row r="572" spans="1:2" x14ac:dyDescent="0.25">
      <c r="A572" s="258" t="s">
        <v>606</v>
      </c>
      <c r="B572" s="74" t="str">
        <f>switch_1_speed</f>
        <v>10GB</v>
      </c>
    </row>
    <row r="573" spans="1:2" x14ac:dyDescent="0.25">
      <c r="A573" s="258" t="s">
        <v>607</v>
      </c>
      <c r="B573" s="74" t="str">
        <f>switch_1_username</f>
        <v>admin</v>
      </c>
    </row>
    <row r="574" spans="1:2" x14ac:dyDescent="0.25">
      <c r="A574" s="258" t="s">
        <v>608</v>
      </c>
      <c r="B574" s="74" t="str">
        <f>switch_1_password</f>
        <v>pass1234</v>
      </c>
    </row>
    <row r="575" spans="1:2" x14ac:dyDescent="0.25">
      <c r="A575" s="258" t="s">
        <v>609</v>
      </c>
      <c r="B575" s="74" t="str">
        <f>switch_1_ip_address</f>
        <v>100.100.20.17</v>
      </c>
    </row>
    <row r="576" spans="1:2" x14ac:dyDescent="0.25">
      <c r="A576" s="258" t="s">
        <v>610</v>
      </c>
      <c r="B576" s="74">
        <f>-switch_1_stacking</f>
        <v>0</v>
      </c>
    </row>
    <row r="577" spans="1:2" x14ac:dyDescent="0.25">
      <c r="A577" s="258" t="s">
        <v>611</v>
      </c>
      <c r="B577" s="74" t="str">
        <f>switch_1_stp_mode</f>
        <v>RSTP</v>
      </c>
    </row>
    <row r="578" spans="1:2" x14ac:dyDescent="0.25">
      <c r="A578" s="258" t="s">
        <v>612</v>
      </c>
      <c r="B578" s="74">
        <f>switch_1_stp_root</f>
        <v>0</v>
      </c>
    </row>
    <row r="579" spans="1:2" x14ac:dyDescent="0.25">
      <c r="A579" s="258" t="s">
        <v>614</v>
      </c>
      <c r="B579" s="74">
        <f>switch_1_stp_bridge_priority</f>
        <v>16384</v>
      </c>
    </row>
    <row r="580" spans="1:2" x14ac:dyDescent="0.25">
      <c r="A580" s="258" t="s">
        <v>613</v>
      </c>
      <c r="B580" s="74">
        <f>switch_1_stacking</f>
        <v>0</v>
      </c>
    </row>
    <row r="581" spans="1:2" x14ac:dyDescent="0.25">
      <c r="A581" s="258" t="s">
        <v>616</v>
      </c>
      <c r="B581" s="74">
        <f>switch_1_vlt_domain_num</f>
        <v>1</v>
      </c>
    </row>
    <row r="582" spans="1:2" x14ac:dyDescent="0.25">
      <c r="A582" s="258" t="s">
        <v>615</v>
      </c>
      <c r="B582" s="74">
        <f>switch_1_vlt_unit_id</f>
        <v>0</v>
      </c>
    </row>
    <row r="583" spans="1:2" x14ac:dyDescent="0.25">
      <c r="A583" s="258" t="s">
        <v>617</v>
      </c>
      <c r="B583" s="74">
        <f>switch_1_vlt_priority</f>
        <v>1</v>
      </c>
    </row>
    <row r="584" spans="1:2" x14ac:dyDescent="0.25">
      <c r="A584" s="27"/>
      <c r="B584" s="74"/>
    </row>
    <row r="585" spans="1:2" x14ac:dyDescent="0.25">
      <c r="A585" s="258" t="s">
        <v>618</v>
      </c>
      <c r="B585" s="74" t="str">
        <f>switch_2_model_type</f>
        <v>Force 10 - S4048</v>
      </c>
    </row>
    <row r="586" spans="1:2" x14ac:dyDescent="0.25">
      <c r="A586" s="258" t="s">
        <v>619</v>
      </c>
      <c r="B586" s="74" t="str">
        <f>switch_2_hostname</f>
        <v>F10-S4048-2</v>
      </c>
    </row>
    <row r="587" spans="1:2" x14ac:dyDescent="0.25">
      <c r="A587" s="258" t="s">
        <v>620</v>
      </c>
      <c r="B587" s="74" t="str">
        <f>switch_2_service_tag</f>
        <v>GLS6XC2</v>
      </c>
    </row>
    <row r="588" spans="1:2" x14ac:dyDescent="0.25">
      <c r="A588" s="258" t="s">
        <v>621</v>
      </c>
      <c r="B588" s="74" t="str">
        <f>switch_2_speed</f>
        <v>10GB</v>
      </c>
    </row>
    <row r="589" spans="1:2" x14ac:dyDescent="0.25">
      <c r="A589" s="258" t="s">
        <v>622</v>
      </c>
      <c r="B589" s="74" t="str">
        <f>switch_2_username</f>
        <v>admin</v>
      </c>
    </row>
    <row r="590" spans="1:2" x14ac:dyDescent="0.25">
      <c r="A590" s="258" t="s">
        <v>623</v>
      </c>
      <c r="B590" s="74" t="str">
        <f>switch_2_password</f>
        <v>pass1234</v>
      </c>
    </row>
    <row r="591" spans="1:2" x14ac:dyDescent="0.25">
      <c r="A591" s="258" t="s">
        <v>625</v>
      </c>
      <c r="B591" s="74" t="str">
        <f>switch_2_ip_address</f>
        <v>100.100.20.18</v>
      </c>
    </row>
    <row r="592" spans="1:2" x14ac:dyDescent="0.25">
      <c r="A592" s="258" t="s">
        <v>624</v>
      </c>
      <c r="B592" s="74">
        <f>-switch_2_stacking</f>
        <v>0</v>
      </c>
    </row>
    <row r="593" spans="1:2" x14ac:dyDescent="0.25">
      <c r="A593" s="258" t="s">
        <v>626</v>
      </c>
      <c r="B593" s="74" t="str">
        <f>switch_2_stp_mode</f>
        <v>RSTP</v>
      </c>
    </row>
    <row r="594" spans="1:2" x14ac:dyDescent="0.25">
      <c r="A594" s="258" t="s">
        <v>627</v>
      </c>
      <c r="B594" s="74">
        <f>switch_2_stp_root</f>
        <v>0</v>
      </c>
    </row>
    <row r="595" spans="1:2" x14ac:dyDescent="0.25">
      <c r="A595" s="258" t="s">
        <v>628</v>
      </c>
      <c r="B595" s="74">
        <f>switch_2_stp_bridge_priority</f>
        <v>16384</v>
      </c>
    </row>
    <row r="596" spans="1:2" x14ac:dyDescent="0.25">
      <c r="A596" s="258" t="s">
        <v>629</v>
      </c>
      <c r="B596" s="74">
        <f>switch_2_stacking</f>
        <v>0</v>
      </c>
    </row>
    <row r="597" spans="1:2" x14ac:dyDescent="0.25">
      <c r="A597" s="258" t="s">
        <v>630</v>
      </c>
      <c r="B597" s="74">
        <f>switch_2_vlt_domain_num</f>
        <v>1</v>
      </c>
    </row>
    <row r="598" spans="1:2" x14ac:dyDescent="0.25">
      <c r="A598" s="258" t="s">
        <v>631</v>
      </c>
      <c r="B598" s="74">
        <f>switch_2_vlt_unit_id</f>
        <v>0</v>
      </c>
    </row>
    <row r="599" spans="1:2" x14ac:dyDescent="0.25">
      <c r="A599" s="258" t="s">
        <v>632</v>
      </c>
      <c r="B599" s="74">
        <f>switch_2_vlt_priority</f>
        <v>1</v>
      </c>
    </row>
  </sheetData>
  <mergeCells count="1">
    <mergeCell ref="A2:B2"/>
  </mergeCells>
  <pageMargins left="0.7" right="0.7" top="0.75" bottom="0.75" header="0.3" footer="0.3"/>
  <pageSetup orientation="portrait" verticalDpi="599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ignoredErrors>
    <ignoredError sqref="B12 B1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Export_Name_Value_Pair">
                <anchor moveWithCells="1" sizeWithCells="1">
                  <from>
                    <xdr:col>2</xdr:col>
                    <xdr:colOff>609600</xdr:colOff>
                    <xdr:row>12</xdr:row>
                    <xdr:rowOff>161925</xdr:rowOff>
                  </from>
                  <to>
                    <xdr:col>6</xdr:col>
                    <xdr:colOff>609600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85193EED7D7C45B2181268987EEB31" ma:contentTypeVersion="0" ma:contentTypeDescription="Create a new document." ma:contentTypeScope="" ma:versionID="0398fff93780d69aa75df20e85be37f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5e0dd24fae28f1b5dd5f79afbe3cfe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Client 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243C670-E16E-4DBD-9932-9E3C368D50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245AC5-DF56-430A-AECE-726FB05E2A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2535616-3E13-4575-9B51-ECA7D821FF84}">
  <ds:schemaRefs>
    <ds:schemaRef ds:uri="http://schemas.microsoft.com/office/2006/documentManagement/types"/>
    <ds:schemaRef ds:uri="http://purl.org/dc/dcmitype/"/>
    <ds:schemaRef ds:uri="http://purl.org/dc/elements/1.1/"/>
    <ds:schemaRef ds:uri="http://purl.org/dc/terms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480</vt:i4>
      </vt:variant>
    </vt:vector>
  </HeadingPairs>
  <TitlesOfParts>
    <vt:vector size="487" baseType="lpstr">
      <vt:lpstr>General Configuration</vt:lpstr>
      <vt:lpstr>Node Inventory</vt:lpstr>
      <vt:lpstr>Network Information</vt:lpstr>
      <vt:lpstr>Dell Networking S3048</vt:lpstr>
      <vt:lpstr>Dell Networking S4048-1</vt:lpstr>
      <vt:lpstr>Dell Networking S4048-2</vt:lpstr>
      <vt:lpstr>ExportSettings</vt:lpstr>
      <vt:lpstr>_192.168.120.251</vt:lpstr>
      <vt:lpstr>anaconda_ip</vt:lpstr>
      <vt:lpstr>cluster_nodes_configuration_file</vt:lpstr>
      <vt:lpstr>comma</vt:lpstr>
      <vt:lpstr>compute_anaconda_iface</vt:lpstr>
      <vt:lpstr>compute_bond_opts</vt:lpstr>
      <vt:lpstr>compute_bond0_iface1</vt:lpstr>
      <vt:lpstr>compute_bond0_iface2</vt:lpstr>
      <vt:lpstr>compute_bond1_iface1</vt:lpstr>
      <vt:lpstr>compute_bond1_iface2</vt:lpstr>
      <vt:lpstr>compute_dpdk_bond_iface3</vt:lpstr>
      <vt:lpstr>compute_dpdk_bond_iface4</vt:lpstr>
      <vt:lpstr>compute_dpdk_bond_iface5</vt:lpstr>
      <vt:lpstr>compute_dpdk_bond_iface6</vt:lpstr>
      <vt:lpstr>compute_external_tenant_tag</vt:lpstr>
      <vt:lpstr>compute_idrac_tag</vt:lpstr>
      <vt:lpstr>compute_internal_tenant_tag</vt:lpstr>
      <vt:lpstr>compute_management_tag</vt:lpstr>
      <vt:lpstr>compute_private_api_tag</vt:lpstr>
      <vt:lpstr>compute_private_bond</vt:lpstr>
      <vt:lpstr>compute_provision_iface</vt:lpstr>
      <vt:lpstr>compute_provision_tag</vt:lpstr>
      <vt:lpstr>compute_public_bond</vt:lpstr>
      <vt:lpstr>compute_public_tag</vt:lpstr>
      <vt:lpstr>compute_sr_iov_bond_iface1</vt:lpstr>
      <vt:lpstr>compute_sr_iov_bond_iface2</vt:lpstr>
      <vt:lpstr>compute_storage_cluster_tag</vt:lpstr>
      <vt:lpstr>compute_storage_tag</vt:lpstr>
      <vt:lpstr>compute_tenant_tunnel_tag</vt:lpstr>
      <vt:lpstr>controller_anaconda_iface</vt:lpstr>
      <vt:lpstr>controller_bond_opts</vt:lpstr>
      <vt:lpstr>controller_bond0_iface1</vt:lpstr>
      <vt:lpstr>controller_bond0_iface2</vt:lpstr>
      <vt:lpstr>controller_bond1_iface1</vt:lpstr>
      <vt:lpstr>controller_bond1_iface2</vt:lpstr>
      <vt:lpstr>controller_dpdk_bond_iface3</vt:lpstr>
      <vt:lpstr>controller_dpdk_bond_iface4</vt:lpstr>
      <vt:lpstr>controller_dpdk_bond_iface5</vt:lpstr>
      <vt:lpstr>controller_dpdk_bond_iface6</vt:lpstr>
      <vt:lpstr>controller_external_tenant_tag</vt:lpstr>
      <vt:lpstr>controller_idrac_tag</vt:lpstr>
      <vt:lpstr>controller_internal_tenant_tag</vt:lpstr>
      <vt:lpstr>controller_management_tag</vt:lpstr>
      <vt:lpstr>controller_private_api_tag</vt:lpstr>
      <vt:lpstr>controller_private_bond</vt:lpstr>
      <vt:lpstr>controller_provision_iface</vt:lpstr>
      <vt:lpstr>controller_provision_tag</vt:lpstr>
      <vt:lpstr>controller_public_bond</vt:lpstr>
      <vt:lpstr>controller_public_tag</vt:lpstr>
      <vt:lpstr>controller_sr_iov_bond_iface1</vt:lpstr>
      <vt:lpstr>controller_sr_iov_bond_iface2</vt:lpstr>
      <vt:lpstr>controller_storage_cluster_tag</vt:lpstr>
      <vt:lpstr>controller_storage_tag</vt:lpstr>
      <vt:lpstr>controller_tenant_tunnel_tag</vt:lpstr>
      <vt:lpstr>dashboard_hostname</vt:lpstr>
      <vt:lpstr>dashboard_public_ip</vt:lpstr>
      <vt:lpstr>dashboard_root_password</vt:lpstr>
      <vt:lpstr>dashboard_storage_ip</vt:lpstr>
      <vt:lpstr>dellsc_api_port</vt:lpstr>
      <vt:lpstr>dellsc_backend_name</vt:lpstr>
      <vt:lpstr>dellsc_iscsi_ip_address</vt:lpstr>
      <vt:lpstr>dellsc_iscsi_port</vt:lpstr>
      <vt:lpstr>dellsc_san_ip</vt:lpstr>
      <vt:lpstr>dellsc_san_login</vt:lpstr>
      <vt:lpstr>dellsc_san_password</vt:lpstr>
      <vt:lpstr>dellsc_server_folder</vt:lpstr>
      <vt:lpstr>dellsc_ssn</vt:lpstr>
      <vt:lpstr>dellsc_volume_folder</vt:lpstr>
      <vt:lpstr>director_hostname</vt:lpstr>
      <vt:lpstr>director_install_user</vt:lpstr>
      <vt:lpstr>director_install_user_password</vt:lpstr>
      <vt:lpstr>director_os_oob_management_ip</vt:lpstr>
      <vt:lpstr>director_private_api_ip</vt:lpstr>
      <vt:lpstr>director_provision_ip</vt:lpstr>
      <vt:lpstr>director_public_ip</vt:lpstr>
      <vt:lpstr>director_root_password</vt:lpstr>
      <vt:lpstr>director_storage_ip</vt:lpstr>
      <vt:lpstr>discovery_end</vt:lpstr>
      <vt:lpstr>discovery_start</vt:lpstr>
      <vt:lpstr>dns_1_ip</vt:lpstr>
      <vt:lpstr>dns_2_ip</vt:lpstr>
      <vt:lpstr>dns_3_ip</vt:lpstr>
      <vt:lpstr>domain_name</vt:lpstr>
      <vt:lpstr>enable_dellsc_backend</vt:lpstr>
      <vt:lpstr>enable_fencing</vt:lpstr>
      <vt:lpstr>enable_instance_ha</vt:lpstr>
      <vt:lpstr>enable_rbd_backend</vt:lpstr>
      <vt:lpstr>ESXi_Host_iDRAC_IP</vt:lpstr>
      <vt:lpstr>ESXi_Host_Public_IP</vt:lpstr>
      <vt:lpstr>ESXi_Host_Service_Tag</vt:lpstr>
      <vt:lpstr>floating_ip_allocation_pool_end</vt:lpstr>
      <vt:lpstr>floating_ip_allocation_pool_start</vt:lpstr>
      <vt:lpstr>floating_ip_gateway</vt:lpstr>
      <vt:lpstr>floating_ip_netmask</vt:lpstr>
      <vt:lpstr>floating_ip_network</vt:lpstr>
      <vt:lpstr>floating_ip_vlanid</vt:lpstr>
      <vt:lpstr>hpg_enable</vt:lpstr>
      <vt:lpstr>hpg_flavor_name_list</vt:lpstr>
      <vt:lpstr>hpg_size</vt:lpstr>
      <vt:lpstr>ipmi_password</vt:lpstr>
      <vt:lpstr>ipmi_user</vt:lpstr>
      <vt:lpstr>management_network</vt:lpstr>
      <vt:lpstr>management_network_allocation_pool_end</vt:lpstr>
      <vt:lpstr>management_network_allocation_pool_start</vt:lpstr>
      <vt:lpstr>management_network_gateway</vt:lpstr>
      <vt:lpstr>management_network_netmask</vt:lpstr>
      <vt:lpstr>management_network_vlanid</vt:lpstr>
      <vt:lpstr>new_ipmi_password</vt:lpstr>
      <vt:lpstr>node_0_bonding_opts</vt:lpstr>
      <vt:lpstr>node_0_idrac_ip</vt:lpstr>
      <vt:lpstr>node_0_os_size</vt:lpstr>
      <vt:lpstr>node_0_private_api_ip</vt:lpstr>
      <vt:lpstr>node_0_provision_ip</vt:lpstr>
      <vt:lpstr>node_0_public_ip</vt:lpstr>
      <vt:lpstr>node_0_service_tag</vt:lpstr>
      <vt:lpstr>node_0_storage_cluster_ip</vt:lpstr>
      <vt:lpstr>node_0_storage_ip</vt:lpstr>
      <vt:lpstr>node_0_tenant_tunnel_ip</vt:lpstr>
      <vt:lpstr>node_1_bonding_opts</vt:lpstr>
      <vt:lpstr>node_1_idrac_ip</vt:lpstr>
      <vt:lpstr>node_1_os_size</vt:lpstr>
      <vt:lpstr>node_1_private_api_ip</vt:lpstr>
      <vt:lpstr>node_1_provision_ip</vt:lpstr>
      <vt:lpstr>node_1_public_ip</vt:lpstr>
      <vt:lpstr>node_1_service_tag</vt:lpstr>
      <vt:lpstr>node_1_storage_cluster_ip</vt:lpstr>
      <vt:lpstr>node_1_storage_ip</vt:lpstr>
      <vt:lpstr>node_1_tenant_tunnel_ip</vt:lpstr>
      <vt:lpstr>node_10_bonding_opts</vt:lpstr>
      <vt:lpstr>node_10_idrac_ip</vt:lpstr>
      <vt:lpstr>node_10_os_size</vt:lpstr>
      <vt:lpstr>node_10_private_api_ip</vt:lpstr>
      <vt:lpstr>node_10_provision_ip</vt:lpstr>
      <vt:lpstr>node_10_public_ip</vt:lpstr>
      <vt:lpstr>node_10_service_tag</vt:lpstr>
      <vt:lpstr>node_10_storage_cluster_ip</vt:lpstr>
      <vt:lpstr>node_10_storage_ip</vt:lpstr>
      <vt:lpstr>node_10_tenant_tunnel_ip</vt:lpstr>
      <vt:lpstr>node_11_bonding_opts</vt:lpstr>
      <vt:lpstr>node_11_idrac_ip</vt:lpstr>
      <vt:lpstr>node_11_os_size</vt:lpstr>
      <vt:lpstr>node_11_private_api_ip</vt:lpstr>
      <vt:lpstr>node_11_provision_ip</vt:lpstr>
      <vt:lpstr>node_11_public_ip</vt:lpstr>
      <vt:lpstr>node_11_service_tag</vt:lpstr>
      <vt:lpstr>node_11_storage_cluster_ip</vt:lpstr>
      <vt:lpstr>node_11_storage_ip</vt:lpstr>
      <vt:lpstr>node_11_tenant_tunnel_ip</vt:lpstr>
      <vt:lpstr>node_12_bonding_opts</vt:lpstr>
      <vt:lpstr>node_12_idrac_ip</vt:lpstr>
      <vt:lpstr>node_12_os_size</vt:lpstr>
      <vt:lpstr>node_12_private_api_ip</vt:lpstr>
      <vt:lpstr>node_12_provision_ip</vt:lpstr>
      <vt:lpstr>node_12_public_ip</vt:lpstr>
      <vt:lpstr>node_12_service_tag</vt:lpstr>
      <vt:lpstr>node_12_storage_cluster_ip</vt:lpstr>
      <vt:lpstr>node_12_storage_ip</vt:lpstr>
      <vt:lpstr>node_12_tenant_tunnel_ip</vt:lpstr>
      <vt:lpstr>node_13_bonding_opts</vt:lpstr>
      <vt:lpstr>node_13_idrac_ip</vt:lpstr>
      <vt:lpstr>node_13_os_size</vt:lpstr>
      <vt:lpstr>node_13_private_api_ip</vt:lpstr>
      <vt:lpstr>node_13_provision_ip</vt:lpstr>
      <vt:lpstr>node_13_public_ip</vt:lpstr>
      <vt:lpstr>node_13_service_tag</vt:lpstr>
      <vt:lpstr>node_13_storage_cluster_ip</vt:lpstr>
      <vt:lpstr>node_13_storage_ip</vt:lpstr>
      <vt:lpstr>node_13_tenant_tunnel_ip</vt:lpstr>
      <vt:lpstr>node_14_bonding_opts</vt:lpstr>
      <vt:lpstr>node_14_idrac_ip</vt:lpstr>
      <vt:lpstr>node_14_os_size</vt:lpstr>
      <vt:lpstr>node_14_private_api_ip</vt:lpstr>
      <vt:lpstr>node_14_provision_ip</vt:lpstr>
      <vt:lpstr>node_14_public_ip</vt:lpstr>
      <vt:lpstr>node_14_service_tag</vt:lpstr>
      <vt:lpstr>node_14_storage_cluster_ip</vt:lpstr>
      <vt:lpstr>node_14_storage_ip</vt:lpstr>
      <vt:lpstr>node_14_tenant_tunnel_ip</vt:lpstr>
      <vt:lpstr>node_15_bonding_opts</vt:lpstr>
      <vt:lpstr>node_15_idrac_ip</vt:lpstr>
      <vt:lpstr>node_15_os_size</vt:lpstr>
      <vt:lpstr>node_15_private_api_ip</vt:lpstr>
      <vt:lpstr>node_15_provision_ip</vt:lpstr>
      <vt:lpstr>node_15_public_ip</vt:lpstr>
      <vt:lpstr>node_15_service_tag</vt:lpstr>
      <vt:lpstr>node_15_storage_cluster_ip</vt:lpstr>
      <vt:lpstr>node_15_storage_ip</vt:lpstr>
      <vt:lpstr>node_15_tenant_tunnel_ip</vt:lpstr>
      <vt:lpstr>node_16_bonding_opts</vt:lpstr>
      <vt:lpstr>node_16_idrac_ip</vt:lpstr>
      <vt:lpstr>node_16_os_size</vt:lpstr>
      <vt:lpstr>node_16_private_api_ip</vt:lpstr>
      <vt:lpstr>node_16_provision_ip</vt:lpstr>
      <vt:lpstr>node_16_public_ip</vt:lpstr>
      <vt:lpstr>node_16_service_tag</vt:lpstr>
      <vt:lpstr>node_16_storage_cluster_ip</vt:lpstr>
      <vt:lpstr>node_16_storage_ip</vt:lpstr>
      <vt:lpstr>node_16_tenant_tunnel_ip</vt:lpstr>
      <vt:lpstr>node_17_bonding_opts</vt:lpstr>
      <vt:lpstr>node_17_idrac_ip</vt:lpstr>
      <vt:lpstr>node_17_os_size</vt:lpstr>
      <vt:lpstr>node_17_private_api_ip</vt:lpstr>
      <vt:lpstr>node_17_provision_ip</vt:lpstr>
      <vt:lpstr>node_17_public_ip</vt:lpstr>
      <vt:lpstr>node_17_service_tag</vt:lpstr>
      <vt:lpstr>node_17_storage_cluster_ip</vt:lpstr>
      <vt:lpstr>node_17_storage_ip</vt:lpstr>
      <vt:lpstr>node_17_tenant_tunnel_ip</vt:lpstr>
      <vt:lpstr>node_18_bonding_opts</vt:lpstr>
      <vt:lpstr>node_18_idrac_ip</vt:lpstr>
      <vt:lpstr>node_18_os_size</vt:lpstr>
      <vt:lpstr>node_18_private_api_ip</vt:lpstr>
      <vt:lpstr>node_18_provision_ip</vt:lpstr>
      <vt:lpstr>node_18_public_ip</vt:lpstr>
      <vt:lpstr>node_18_service_tag</vt:lpstr>
      <vt:lpstr>node_18_storage_cluster_ip</vt:lpstr>
      <vt:lpstr>node_18_storage_ip</vt:lpstr>
      <vt:lpstr>node_18_tenant_tunnel_ip</vt:lpstr>
      <vt:lpstr>node_19_bonding_opts</vt:lpstr>
      <vt:lpstr>node_19_idrac_ip</vt:lpstr>
      <vt:lpstr>node_19_os_size</vt:lpstr>
      <vt:lpstr>node_19_private_api_ip</vt:lpstr>
      <vt:lpstr>node_19_provision_ip</vt:lpstr>
      <vt:lpstr>node_19_public_ip</vt:lpstr>
      <vt:lpstr>node_19_service_tag</vt:lpstr>
      <vt:lpstr>node_19_storage_cluster_ip</vt:lpstr>
      <vt:lpstr>node_19_storage_ip</vt:lpstr>
      <vt:lpstr>node_19_tenant_tunnel_ip</vt:lpstr>
      <vt:lpstr>node_2_bonding_opts</vt:lpstr>
      <vt:lpstr>node_2_idrac_ip</vt:lpstr>
      <vt:lpstr>node_2_os_size</vt:lpstr>
      <vt:lpstr>node_2_private_api_ip</vt:lpstr>
      <vt:lpstr>node_2_provision_ip</vt:lpstr>
      <vt:lpstr>node_2_public_ip</vt:lpstr>
      <vt:lpstr>node_2_service_tag</vt:lpstr>
      <vt:lpstr>node_2_storage_cluster_ip</vt:lpstr>
      <vt:lpstr>node_2_storage_ip</vt:lpstr>
      <vt:lpstr>node_2_tenant_tunnel_ip</vt:lpstr>
      <vt:lpstr>node_3_bonding_opts</vt:lpstr>
      <vt:lpstr>node_3_idrac_ip</vt:lpstr>
      <vt:lpstr>node_3_os_size</vt:lpstr>
      <vt:lpstr>node_3_private_api_ip</vt:lpstr>
      <vt:lpstr>node_3_provision_ip</vt:lpstr>
      <vt:lpstr>node_3_public_ip</vt:lpstr>
      <vt:lpstr>node_3_service_tag</vt:lpstr>
      <vt:lpstr>node_3_storage_cluster_ip</vt:lpstr>
      <vt:lpstr>node_3_storage_ip</vt:lpstr>
      <vt:lpstr>node_3_tenant_tunnel_ip</vt:lpstr>
      <vt:lpstr>node_4_bonding_opts</vt:lpstr>
      <vt:lpstr>node_4_idrac_ip</vt:lpstr>
      <vt:lpstr>node_4_os_size</vt:lpstr>
      <vt:lpstr>node_4_private_api_ip</vt:lpstr>
      <vt:lpstr>node_4_provision_ip</vt:lpstr>
      <vt:lpstr>node_4_public_ip</vt:lpstr>
      <vt:lpstr>node_4_service_tag</vt:lpstr>
      <vt:lpstr>node_4_storage_cluster_ip</vt:lpstr>
      <vt:lpstr>node_4_storage_ip</vt:lpstr>
      <vt:lpstr>node_4_tenant_tunnel_ip</vt:lpstr>
      <vt:lpstr>node_5_bonding_opts</vt:lpstr>
      <vt:lpstr>node_5_idrac_ip</vt:lpstr>
      <vt:lpstr>node_5_os_size</vt:lpstr>
      <vt:lpstr>node_5_private_api_ip</vt:lpstr>
      <vt:lpstr>node_5_provision_ip</vt:lpstr>
      <vt:lpstr>node_5_public_ip</vt:lpstr>
      <vt:lpstr>node_5_service_tag</vt:lpstr>
      <vt:lpstr>node_5_storage_cluster_ip</vt:lpstr>
      <vt:lpstr>node_5_storage_ip</vt:lpstr>
      <vt:lpstr>node_5_tenant_tunnel_ip</vt:lpstr>
      <vt:lpstr>node_6_bonding_opts</vt:lpstr>
      <vt:lpstr>node_6_idrac_ip</vt:lpstr>
      <vt:lpstr>node_6_os_size</vt:lpstr>
      <vt:lpstr>node_6_private_api_ip</vt:lpstr>
      <vt:lpstr>node_6_provision_ip</vt:lpstr>
      <vt:lpstr>node_6_public_ip</vt:lpstr>
      <vt:lpstr>node_6_service_tag</vt:lpstr>
      <vt:lpstr>node_6_storage_cluster_ip</vt:lpstr>
      <vt:lpstr>node_6_storage_ip</vt:lpstr>
      <vt:lpstr>node_6_tenant_tunnel_ip</vt:lpstr>
      <vt:lpstr>node_7_bonding_opts</vt:lpstr>
      <vt:lpstr>node_7_idrac_ip</vt:lpstr>
      <vt:lpstr>node_7_os_size</vt:lpstr>
      <vt:lpstr>node_7_private_api_ip</vt:lpstr>
      <vt:lpstr>node_7_provision_ip</vt:lpstr>
      <vt:lpstr>node_7_public_ip</vt:lpstr>
      <vt:lpstr>node_7_service_tag</vt:lpstr>
      <vt:lpstr>node_7_storage_cluster_ip</vt:lpstr>
      <vt:lpstr>node_7_storage_ip</vt:lpstr>
      <vt:lpstr>node_7_tenant_tunnel_ip</vt:lpstr>
      <vt:lpstr>node_8_bonding_opts</vt:lpstr>
      <vt:lpstr>node_8_idrac_ip</vt:lpstr>
      <vt:lpstr>node_8_os_size</vt:lpstr>
      <vt:lpstr>node_8_private_api_ip</vt:lpstr>
      <vt:lpstr>node_8_provision_ip</vt:lpstr>
      <vt:lpstr>node_8_public_ip</vt:lpstr>
      <vt:lpstr>node_8_service_tag</vt:lpstr>
      <vt:lpstr>node_8_storage_cluster_ip</vt:lpstr>
      <vt:lpstr>node_8_storage_ip</vt:lpstr>
      <vt:lpstr>node_8_tenant_tunnel_ip</vt:lpstr>
      <vt:lpstr>node_9_bonding_opts</vt:lpstr>
      <vt:lpstr>node_9_idrac_ip</vt:lpstr>
      <vt:lpstr>node_9_os_size</vt:lpstr>
      <vt:lpstr>node_9_private_api_ip</vt:lpstr>
      <vt:lpstr>node_9_provision_ip</vt:lpstr>
      <vt:lpstr>node_9_public_ip</vt:lpstr>
      <vt:lpstr>node_9_service_tag</vt:lpstr>
      <vt:lpstr>node_9_storage_cluster_ip</vt:lpstr>
      <vt:lpstr>node_9_storage_ip</vt:lpstr>
      <vt:lpstr>node_9_tenant_tunnel_ip</vt:lpstr>
      <vt:lpstr>NTP_server_1_ip</vt:lpstr>
      <vt:lpstr>NTP_server_2_ip</vt:lpstr>
      <vt:lpstr>NTP_server_3_ip</vt:lpstr>
      <vt:lpstr>numa_enable</vt:lpstr>
      <vt:lpstr>numa_flavor_name_list</vt:lpstr>
      <vt:lpstr>numa_hostos_cpus</vt:lpstr>
      <vt:lpstr>Overcloud_Name</vt:lpstr>
      <vt:lpstr>overcloud_nodes_pwd</vt:lpstr>
      <vt:lpstr>overcloud_nodes_pwd_name</vt:lpstr>
      <vt:lpstr>overcloud_static_ips</vt:lpstr>
      <vt:lpstr>'Node Inventory'!Print_Area</vt:lpstr>
      <vt:lpstr>private_api_allocation_pool_end</vt:lpstr>
      <vt:lpstr>private_api_allocation_pool_start</vt:lpstr>
      <vt:lpstr>private_api_gateway</vt:lpstr>
      <vt:lpstr>private_api_netmask</vt:lpstr>
      <vt:lpstr>private_api_network</vt:lpstr>
      <vt:lpstr>private_api_vip</vt:lpstr>
      <vt:lpstr>private_api_vlanid</vt:lpstr>
      <vt:lpstr>provisioning_gateway</vt:lpstr>
      <vt:lpstr>provisioning_net_dhcp_end</vt:lpstr>
      <vt:lpstr>provisioning_net_dhcp_start</vt:lpstr>
      <vt:lpstr>provisioning_netmask</vt:lpstr>
      <vt:lpstr>provisioning_network</vt:lpstr>
      <vt:lpstr>provisioning_vip</vt:lpstr>
      <vt:lpstr>provisioning_vlanid</vt:lpstr>
      <vt:lpstr>public_api_allocation_pool_end</vt:lpstr>
      <vt:lpstr>public_api_allocation_pool_start</vt:lpstr>
      <vt:lpstr>public_api_gateway</vt:lpstr>
      <vt:lpstr>public_api_netmask</vt:lpstr>
      <vt:lpstr>public_api_network</vt:lpstr>
      <vt:lpstr>public_api_vip</vt:lpstr>
      <vt:lpstr>public_api_vlanid</vt:lpstr>
      <vt:lpstr>redis_vip</vt:lpstr>
      <vt:lpstr>RHEL_JB_Public_IP</vt:lpstr>
      <vt:lpstr>run_sanity</vt:lpstr>
      <vt:lpstr>sah_anaconda_iface</vt:lpstr>
      <vt:lpstr>sah_bond0_iface1</vt:lpstr>
      <vt:lpstr>sah_bond0_iface2</vt:lpstr>
      <vt:lpstr>sah_bond1_iface1</vt:lpstr>
      <vt:lpstr>sah_bond1_iface2</vt:lpstr>
      <vt:lpstr>sah_bonding_opts</vt:lpstr>
      <vt:lpstr>sah_dpdk_bond_iface3</vt:lpstr>
      <vt:lpstr>sah_dpdk_bond_iface4</vt:lpstr>
      <vt:lpstr>sah_dpdk_bond_iface5</vt:lpstr>
      <vt:lpstr>sah_dpdk_bond_iface6</vt:lpstr>
      <vt:lpstr>sah_external_tenant_tag</vt:lpstr>
      <vt:lpstr>sah_host_service_tag</vt:lpstr>
      <vt:lpstr>sah_hostname</vt:lpstr>
      <vt:lpstr>sah_idrac_ip</vt:lpstr>
      <vt:lpstr>sah_idrac_tag</vt:lpstr>
      <vt:lpstr>sah_internal_tenant_tag</vt:lpstr>
      <vt:lpstr>sah_ipmi_password</vt:lpstr>
      <vt:lpstr>sah_ipmi_user</vt:lpstr>
      <vt:lpstr>sah_management_ip</vt:lpstr>
      <vt:lpstr>sah_management_tag</vt:lpstr>
      <vt:lpstr>sah_private_api_ip</vt:lpstr>
      <vt:lpstr>sah_private_api_tag</vt:lpstr>
      <vt:lpstr>sah_private_bond</vt:lpstr>
      <vt:lpstr>sah_provision_iface</vt:lpstr>
      <vt:lpstr>sah_provision_ip</vt:lpstr>
      <vt:lpstr>sah_provision_tag</vt:lpstr>
      <vt:lpstr>sah_public_bond</vt:lpstr>
      <vt:lpstr>sah_public_ip</vt:lpstr>
      <vt:lpstr>sah_public_tag</vt:lpstr>
      <vt:lpstr>sah_root_password</vt:lpstr>
      <vt:lpstr>sah_sr_iov_bond_iface1</vt:lpstr>
      <vt:lpstr>sah_sr_iov_bond_iface2</vt:lpstr>
      <vt:lpstr>sah_storage_cluster_tag</vt:lpstr>
      <vt:lpstr>sah_storage_ip</vt:lpstr>
      <vt:lpstr>sah_storage_tag</vt:lpstr>
      <vt:lpstr>sah_tenant_tunnel_tag</vt:lpstr>
      <vt:lpstr>sah_tenants_tag</vt:lpstr>
      <vt:lpstr>storage_anaconda_iface</vt:lpstr>
      <vt:lpstr>storage_api_allocation_pool_end</vt:lpstr>
      <vt:lpstr>storage_api_allocation_pool_start</vt:lpstr>
      <vt:lpstr>storage_api_gateway</vt:lpstr>
      <vt:lpstr>storage_api_netmask</vt:lpstr>
      <vt:lpstr>storage_api_network</vt:lpstr>
      <vt:lpstr>storage_api_vlanid</vt:lpstr>
      <vt:lpstr>storage_bond_opts</vt:lpstr>
      <vt:lpstr>storage_bond0_iface1</vt:lpstr>
      <vt:lpstr>storage_bond0_iface2</vt:lpstr>
      <vt:lpstr>storage_bond1_iface1</vt:lpstr>
      <vt:lpstr>storage_bond1_iface2</vt:lpstr>
      <vt:lpstr>storage_cluster_allocation_pool_end</vt:lpstr>
      <vt:lpstr>storage_cluster_allocation_pool_start</vt:lpstr>
      <vt:lpstr>storage_cluster_gateway</vt:lpstr>
      <vt:lpstr>storage_cluster_netmask</vt:lpstr>
      <vt:lpstr>storage_cluster_network</vt:lpstr>
      <vt:lpstr>storage_cluster_vip</vt:lpstr>
      <vt:lpstr>storage_cluster_vlanid</vt:lpstr>
      <vt:lpstr>storage_dpdk_bond_iface3</vt:lpstr>
      <vt:lpstr>storage_dpdk_bond_iface4</vt:lpstr>
      <vt:lpstr>storage_dpdk_bond_iface5</vt:lpstr>
      <vt:lpstr>storage_dpdk_bond_iface6</vt:lpstr>
      <vt:lpstr>storage_external_tenant_tag</vt:lpstr>
      <vt:lpstr>storage_idrac_tag</vt:lpstr>
      <vt:lpstr>storage_internal_tenant_tag</vt:lpstr>
      <vt:lpstr>storage_management_tag</vt:lpstr>
      <vt:lpstr>storage_private_api_tag</vt:lpstr>
      <vt:lpstr>storage_private_bond</vt:lpstr>
      <vt:lpstr>storage_provision_iface</vt:lpstr>
      <vt:lpstr>storage_provision_tag</vt:lpstr>
      <vt:lpstr>storage_public_bond</vt:lpstr>
      <vt:lpstr>storage_public_tag</vt:lpstr>
      <vt:lpstr>storage_sr_iov_bond_iface1</vt:lpstr>
      <vt:lpstr>storage_sr_iov_bond_iface2</vt:lpstr>
      <vt:lpstr>storage_storage_cluster_tag</vt:lpstr>
      <vt:lpstr>storage_storage_tag</vt:lpstr>
      <vt:lpstr>storage_tenant_tunnel_tag</vt:lpstr>
      <vt:lpstr>storage_vip</vt:lpstr>
      <vt:lpstr>subscription_check_retries</vt:lpstr>
      <vt:lpstr>subscription_manager_password</vt:lpstr>
      <vt:lpstr>subscription_manager_pool_sah</vt:lpstr>
      <vt:lpstr>subscription_manager_pool_vm_rhel</vt:lpstr>
      <vt:lpstr>subscription_manager_user</vt:lpstr>
      <vt:lpstr>subscription_manager_vm_ceph</vt:lpstr>
      <vt:lpstr>switch_0_firmware</vt:lpstr>
      <vt:lpstr>switch_0_hostname</vt:lpstr>
      <vt:lpstr>switch_0_ip_address</vt:lpstr>
      <vt:lpstr>switch_0_model_type</vt:lpstr>
      <vt:lpstr>switch_0_password</vt:lpstr>
      <vt:lpstr>switch_0_service_tag</vt:lpstr>
      <vt:lpstr>switch_0_speed</vt:lpstr>
      <vt:lpstr>switch_0_stacking</vt:lpstr>
      <vt:lpstr>switch_0_stp_bridge_priority</vt:lpstr>
      <vt:lpstr>switch_0_stp_mode</vt:lpstr>
      <vt:lpstr>switch_0_stp_root</vt:lpstr>
      <vt:lpstr>switch_0_username</vt:lpstr>
      <vt:lpstr>switch_0_vlt_domain_num</vt:lpstr>
      <vt:lpstr>switch_0_vlt_priority</vt:lpstr>
      <vt:lpstr>switch_0_vlt_unit_id</vt:lpstr>
      <vt:lpstr>switch_1_firmware</vt:lpstr>
      <vt:lpstr>switch_1_hostname</vt:lpstr>
      <vt:lpstr>switch_1_ip_address</vt:lpstr>
      <vt:lpstr>switch_1_model_type</vt:lpstr>
      <vt:lpstr>switch_1_password</vt:lpstr>
      <vt:lpstr>switch_1_service_tag</vt:lpstr>
      <vt:lpstr>switch_1_speed</vt:lpstr>
      <vt:lpstr>switch_1_stacking</vt:lpstr>
      <vt:lpstr>switch_1_stp_bridge_priority</vt:lpstr>
      <vt:lpstr>switch_1_stp_mode</vt:lpstr>
      <vt:lpstr>switch_1_stp_root</vt:lpstr>
      <vt:lpstr>switch_1_username</vt:lpstr>
      <vt:lpstr>switch_1_vlt_domain_num</vt:lpstr>
      <vt:lpstr>switch_1_vlt_priority</vt:lpstr>
      <vt:lpstr>switch_1_vlt_unit_id</vt:lpstr>
      <vt:lpstr>switch_2_firmware</vt:lpstr>
      <vt:lpstr>switch_2_hostname</vt:lpstr>
      <vt:lpstr>switch_2_ip_address</vt:lpstr>
      <vt:lpstr>switch_2_model_type</vt:lpstr>
      <vt:lpstr>switch_2_password</vt:lpstr>
      <vt:lpstr>switch_2_service_tag</vt:lpstr>
      <vt:lpstr>switch_2_speed</vt:lpstr>
      <vt:lpstr>switch_2_stacking</vt:lpstr>
      <vt:lpstr>switch_2_stp_bridge_priority</vt:lpstr>
      <vt:lpstr>switch_2_stp_mode</vt:lpstr>
      <vt:lpstr>switch_2_stp_root</vt:lpstr>
      <vt:lpstr>switch_2_username</vt:lpstr>
      <vt:lpstr>switch_2_vlt_domain_num</vt:lpstr>
      <vt:lpstr>switch_2_vlt_priority</vt:lpstr>
      <vt:lpstr>switch_2_vlt_unit_id</vt:lpstr>
      <vt:lpstr>system_timezone</vt:lpstr>
      <vt:lpstr>tempest_smoke_only</vt:lpstr>
      <vt:lpstr>tenant_tunnel_allocation_pool_end</vt:lpstr>
      <vt:lpstr>tenant_tunnel_allocation_pool_start</vt:lpstr>
      <vt:lpstr>tenant_tunnel_gateway</vt:lpstr>
      <vt:lpstr>tenant_tunnel_netmask</vt:lpstr>
      <vt:lpstr>tenant_tunnel_network</vt:lpstr>
      <vt:lpstr>tenant_tunnel_vlanid</vt:lpstr>
      <vt:lpstr>VLTDOMAIN</vt:lpstr>
      <vt:lpstr>Windows_JB_Public_IP</vt:lpstr>
    </vt:vector>
  </TitlesOfParts>
  <Company>Dell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Lastra, Breno</dc:creator>
  <cp:keywords>Internal Use</cp:keywords>
  <cp:lastModifiedBy>Williams, J T</cp:lastModifiedBy>
  <dcterms:created xsi:type="dcterms:W3CDTF">2012-09-25T18:45:55Z</dcterms:created>
  <dcterms:modified xsi:type="dcterms:W3CDTF">2018-09-07T20:12:14Z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0x0101001185193EED7D7C45B2181268987EEB31</vt:lpwstr>
  </property>
  <property fmtid="{D5CDD505-2E9C-101B-9397-08002B2CF9AE}" pid="3" name="TitusGUID">
    <vt:lpwstr>61235ecc-5eda-4bfa-b173-25bd66ca9b45</vt:lpwstr>
  </property>
  <property fmtid="{D5CDD505-2E9C-101B-9397-08002B2CF9AE}" pid="4" name="DellClassification">
    <vt:lpwstr>Internal Use</vt:lpwstr>
  </property>
  <property fmtid="{D5CDD505-2E9C-101B-9397-08002B2CF9AE}" pid="5" name="DellSubLabels">
    <vt:lpwstr>Customer Workproduct</vt:lpwstr>
  </property>
  <property fmtid="{D5CDD505-2E9C-101B-9397-08002B2CF9AE}" pid="6" name="DellVisual Markings">
    <vt:lpwstr>None (Metadata Only)</vt:lpwstr>
  </property>
  <property fmtid="{D5CDD505-2E9C-101B-9397-08002B2CF9AE}" pid="7" name="titusconfig">
    <vt:lpwstr>0.6CorpGlobal</vt:lpwstr>
  </property>
  <property fmtid="{D5CDD505-2E9C-101B-9397-08002B2CF9AE}" pid="8" name="Document Editor">
    <vt:lpwstr>J_T_Williams</vt:lpwstr>
  </property>
  <property fmtid="{D5CDD505-2E9C-101B-9397-08002B2CF9AE}" pid="9" name="Classification">
    <vt:lpwstr>Internal Use</vt:lpwstr>
  </property>
  <property fmtid="{D5CDD505-2E9C-101B-9397-08002B2CF9AE}" pid="10" name="Sublabels">
    <vt:lpwstr>Customer Workproduct</vt:lpwstr>
  </property>
  <property fmtid="{D5CDD505-2E9C-101B-9397-08002B2CF9AE}" pid="11" name="VisualMarkings">
    <vt:lpwstr>Classification Footer</vt:lpwstr>
  </property>
</Properties>
</file>